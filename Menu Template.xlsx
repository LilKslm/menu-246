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autoCompressPictures="0"/>
  <mc:AlternateContent xmlns:mc="http://schemas.openxmlformats.org/markup-compatibility/2006">
    <mc:Choice Requires="x15">
      <x15ac:absPath xmlns:x15ac="http://schemas.microsoft.com/office/spreadsheetml/2010/11/ac" url="C:\Users\khali\Desktop\TEMPLATES\"/>
    </mc:Choice>
  </mc:AlternateContent>
  <xr:revisionPtr revIDLastSave="0" documentId="13_ncr:1_{6BBED3D0-4B48-48FF-A2D5-51432A5DF549}" xr6:coauthVersionLast="47" xr6:coauthVersionMax="47" xr10:uidLastSave="{00000000-0000-0000-0000-000000000000}"/>
  <bookViews>
    <workbookView xWindow="-28920" yWindow="-120" windowWidth="29040" windowHeight="15720" tabRatio="751" firstSheet="1" activeTab="7" xr2:uid="{00000000-000D-0000-FFFF-FFFF00000000}"/>
  </bookViews>
  <sheets>
    <sheet name="DIRECTIVES" sheetId="11" r:id="rId1"/>
    <sheet name="BIBLIOTHÈQUE" sheetId="1" r:id="rId2"/>
    <sheet name="OPTIONS" sheetId="10" r:id="rId3"/>
    <sheet name="DONNÉES" sheetId="9" r:id="rId4"/>
    <sheet name="INVENTAIRE CENTRE" sheetId="13" r:id="rId5"/>
    <sheet name="MENU VISUEL" sheetId="12" r:id="rId6"/>
    <sheet name="MENU" sheetId="7" r:id="rId7"/>
    <sheet name="LISTE D'ÉPICERIE" sheetId="14" r:id="rId8"/>
  </sheets>
  <definedNames>
    <definedName name="_xlnm._FilterDatabase" localSheetId="1" hidden="1">BIBLIOTHÈQUE!$A$1:$G$525</definedName>
    <definedName name="_xlnm._FilterDatabase" localSheetId="3" hidden="1">DONNÉES!$A$1:$N$588</definedName>
    <definedName name="Données">DONNÉES!$A$1:$N$65</definedName>
    <definedName name="SectionÉpicerie">OPTIONS!$F$2:$F$8</definedName>
  </definedNames>
  <calcPr calcId="191029" concurrentCalc="0"/>
  <pivotCaches>
    <pivotCache cacheId="30" r:id="rId9"/>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46" i="9" l="1"/>
  <c r="B22" i="9"/>
  <c r="B6" i="9"/>
  <c r="B7" i="9"/>
  <c r="B8" i="9"/>
  <c r="B9" i="9"/>
  <c r="B10" i="9"/>
  <c r="B11" i="9"/>
  <c r="B12" i="9"/>
  <c r="B13" i="9"/>
  <c r="B14" i="9"/>
  <c r="B15" i="9"/>
  <c r="B16" i="9"/>
  <c r="B17" i="9"/>
  <c r="B18" i="9"/>
  <c r="B19" i="9"/>
  <c r="B20" i="9"/>
  <c r="B21" i="9"/>
  <c r="B4" i="10"/>
  <c r="B5" i="10"/>
  <c r="B6" i="10"/>
  <c r="B7" i="10"/>
  <c r="B8" i="10"/>
  <c r="C8" i="10"/>
  <c r="A112" i="1"/>
  <c r="G3" i="9"/>
  <c r="G4" i="9"/>
  <c r="G5" i="9"/>
  <c r="G2" i="9"/>
  <c r="A123" i="1"/>
  <c r="A124" i="1"/>
  <c r="A125" i="1"/>
  <c r="A28" i="1"/>
  <c r="A482" i="1"/>
  <c r="A80" i="1"/>
  <c r="A217" i="1"/>
  <c r="A218" i="1"/>
  <c r="A219" i="1"/>
  <c r="A220" i="1"/>
  <c r="A221" i="1"/>
  <c r="A305" i="1"/>
  <c r="A306" i="1"/>
  <c r="A307" i="1"/>
  <c r="A308" i="1"/>
  <c r="A309" i="1"/>
  <c r="A295" i="1"/>
  <c r="A296" i="1"/>
  <c r="A297" i="1"/>
  <c r="A114" i="1"/>
  <c r="A253" i="1"/>
  <c r="A254" i="1"/>
  <c r="A255" i="1"/>
  <c r="A119" i="1"/>
  <c r="A120" i="1"/>
  <c r="A82" i="1"/>
  <c r="A6" i="1"/>
  <c r="A36" i="1"/>
  <c r="A203" i="1"/>
  <c r="A204" i="1"/>
  <c r="A205" i="1"/>
  <c r="A206" i="1"/>
  <c r="A207" i="1"/>
  <c r="A208" i="1"/>
  <c r="A209" i="1"/>
  <c r="A349" i="1"/>
  <c r="A350" i="1"/>
  <c r="A351" i="1"/>
  <c r="A352" i="1"/>
  <c r="A353" i="1"/>
  <c r="A320" i="1"/>
  <c r="A321" i="1"/>
  <c r="A322" i="1"/>
  <c r="A323" i="1"/>
  <c r="A390" i="1"/>
  <c r="A455" i="1"/>
  <c r="A74" i="1"/>
  <c r="A7" i="1"/>
  <c r="A8" i="1"/>
  <c r="A64" i="1"/>
  <c r="A222" i="1"/>
  <c r="A248" i="1"/>
  <c r="A515" i="1"/>
  <c r="A370" i="1"/>
  <c r="A371" i="1"/>
  <c r="A372" i="1"/>
  <c r="A373" i="1"/>
  <c r="A374" i="1"/>
  <c r="A303" i="1"/>
  <c r="A516" i="1"/>
  <c r="A497" i="1"/>
  <c r="A62" i="1"/>
  <c r="A47" i="1"/>
  <c r="A48" i="1"/>
  <c r="A49" i="1"/>
  <c r="A90" i="1"/>
  <c r="A91" i="1"/>
  <c r="A163" i="1"/>
  <c r="A164" i="1"/>
  <c r="A165" i="1"/>
  <c r="A166" i="1"/>
  <c r="A452" i="1"/>
  <c r="A475" i="1"/>
  <c r="A3" i="1"/>
  <c r="A4" i="1"/>
  <c r="A2" i="1"/>
  <c r="A5" i="1"/>
  <c r="A287" i="1"/>
  <c r="A186" i="1"/>
  <c r="A187" i="1"/>
  <c r="A188" i="1"/>
  <c r="A189" i="1"/>
  <c r="A190" i="1"/>
  <c r="A191" i="1"/>
  <c r="A432" i="1"/>
  <c r="A433" i="1"/>
  <c r="A291" i="1"/>
  <c r="A375" i="1"/>
  <c r="A376" i="1"/>
  <c r="A377" i="1"/>
  <c r="A378" i="1"/>
  <c r="A75" i="1"/>
  <c r="A76" i="1"/>
  <c r="A63" i="1"/>
  <c r="A277" i="1"/>
  <c r="A278" i="1"/>
  <c r="A279" i="1"/>
  <c r="A280" i="1"/>
  <c r="A259" i="1"/>
  <c r="A260" i="1"/>
  <c r="A232" i="1"/>
  <c r="A261" i="1"/>
  <c r="A24" i="1"/>
  <c r="A25" i="1"/>
  <c r="A26" i="1"/>
  <c r="A27" i="1"/>
  <c r="A242" i="1"/>
  <c r="A243" i="1"/>
  <c r="A244" i="1"/>
  <c r="A245" i="1"/>
  <c r="A246" i="1"/>
  <c r="A247" i="1"/>
  <c r="A340" i="1"/>
  <c r="A341" i="1"/>
  <c r="A342" i="1"/>
  <c r="A343" i="1"/>
  <c r="A344" i="1"/>
  <c r="A159" i="1"/>
  <c r="A160" i="1"/>
  <c r="A161" i="1"/>
  <c r="A256" i="1"/>
  <c r="A507" i="1"/>
  <c r="A517" i="1"/>
  <c r="A518" i="1"/>
  <c r="A446" i="1"/>
  <c r="A502" i="1"/>
  <c r="A503" i="1"/>
  <c r="A498" i="1"/>
  <c r="A499" i="1"/>
  <c r="A500" i="1"/>
  <c r="A501" i="1"/>
  <c r="A456" i="1"/>
  <c r="A457" i="1"/>
  <c r="A476" i="1"/>
  <c r="A288" i="1"/>
  <c r="A289" i="1"/>
  <c r="A324" i="1"/>
  <c r="A325" i="1"/>
  <c r="A121" i="1"/>
  <c r="A122" i="1"/>
  <c r="A437" i="1"/>
  <c r="A153" i="1"/>
  <c r="A154" i="1"/>
  <c r="A155" i="1"/>
  <c r="A156" i="1"/>
  <c r="A157" i="1"/>
  <c r="A158" i="1"/>
  <c r="A504" i="1"/>
  <c r="A489" i="1"/>
  <c r="A490" i="1"/>
  <c r="A330" i="1"/>
  <c r="A331" i="1"/>
  <c r="A12" i="1"/>
  <c r="A521" i="1"/>
  <c r="A180" i="1"/>
  <c r="A181" i="1"/>
  <c r="A182" i="1"/>
  <c r="A183" i="1"/>
  <c r="A184" i="1"/>
  <c r="A185" i="1"/>
  <c r="A345" i="1"/>
  <c r="A290" i="1"/>
  <c r="A468" i="1"/>
  <c r="A469" i="1"/>
  <c r="A470" i="1"/>
  <c r="A471" i="1"/>
  <c r="A472" i="1"/>
  <c r="A473" i="1"/>
  <c r="A30" i="1"/>
  <c r="A31" i="1"/>
  <c r="A32" i="1"/>
  <c r="A33" i="1"/>
  <c r="A34" i="1"/>
  <c r="A35" i="1"/>
  <c r="A483" i="1"/>
  <c r="A144" i="1"/>
  <c r="A145" i="1"/>
  <c r="A146" i="1"/>
  <c r="A485" i="1"/>
  <c r="A453" i="1"/>
  <c r="A391" i="1"/>
  <c r="A392" i="1"/>
  <c r="A393" i="1"/>
  <c r="A394" i="1"/>
  <c r="A395" i="1"/>
  <c r="A396" i="1"/>
  <c r="A397" i="1"/>
  <c r="A398" i="1"/>
  <c r="A399" i="1"/>
  <c r="A110" i="1"/>
  <c r="A111" i="1"/>
  <c r="A113" i="1"/>
  <c r="A520" i="1"/>
  <c r="A400" i="1"/>
  <c r="A401" i="1"/>
  <c r="A402" i="1"/>
  <c r="A403" i="1"/>
  <c r="A404" i="1"/>
  <c r="A405" i="1"/>
  <c r="A406" i="1"/>
  <c r="A407" i="1"/>
  <c r="A408" i="1"/>
  <c r="A13" i="1"/>
  <c r="A147" i="1"/>
  <c r="A148" i="1"/>
  <c r="A149" i="1"/>
  <c r="A150" i="1"/>
  <c r="A151" i="1"/>
  <c r="A152" i="1"/>
  <c r="A55" i="1"/>
  <c r="A56" i="1"/>
  <c r="A57" i="1"/>
  <c r="A58" i="1"/>
  <c r="A59" i="1"/>
  <c r="A60" i="1"/>
  <c r="A354" i="1"/>
  <c r="A355" i="1"/>
  <c r="A356" i="1"/>
  <c r="A511" i="1"/>
  <c r="A42" i="1"/>
  <c r="A43" i="1"/>
  <c r="A44" i="1"/>
  <c r="A45" i="1"/>
  <c r="A46" i="1"/>
  <c r="A524" i="1"/>
  <c r="A266" i="1"/>
  <c r="A267" i="1"/>
  <c r="A492" i="1"/>
  <c r="A142" i="1"/>
  <c r="A143" i="1"/>
  <c r="A508" i="1"/>
  <c r="A68" i="1"/>
  <c r="A69" i="1"/>
  <c r="A70" i="1"/>
  <c r="A71" i="1"/>
  <c r="A72" i="1"/>
  <c r="A73" i="1"/>
  <c r="A192" i="1"/>
  <c r="A193" i="1"/>
  <c r="A194" i="1"/>
  <c r="A195" i="1"/>
  <c r="A196" i="1"/>
  <c r="A379" i="1"/>
  <c r="A380" i="1"/>
  <c r="A381" i="1"/>
  <c r="A382" i="1"/>
  <c r="A383" i="1"/>
  <c r="A384" i="1"/>
  <c r="A385" i="1"/>
  <c r="A386" i="1"/>
  <c r="A387" i="1"/>
  <c r="A388" i="1"/>
  <c r="A454" i="1"/>
  <c r="A14" i="1"/>
  <c r="A15" i="1"/>
  <c r="A16" i="1"/>
  <c r="A17" i="1"/>
  <c r="A18" i="1"/>
  <c r="A19" i="1"/>
  <c r="A20" i="1"/>
  <c r="A21" i="1"/>
  <c r="A22" i="1"/>
  <c r="A23" i="1"/>
  <c r="A510" i="1"/>
  <c r="A282" i="1"/>
  <c r="A283" i="1"/>
  <c r="A284" i="1"/>
  <c r="A285" i="1"/>
  <c r="A286" i="1"/>
  <c r="A436" i="1"/>
  <c r="A438" i="1"/>
  <c r="A9" i="1"/>
  <c r="A10" i="1"/>
  <c r="A11" i="1"/>
  <c r="A292" i="1"/>
  <c r="A293" i="1"/>
  <c r="A294" i="1"/>
  <c r="A439" i="1"/>
  <c r="A298" i="1"/>
  <c r="A299" i="1"/>
  <c r="A300" i="1"/>
  <c r="A301" i="1"/>
  <c r="A440" i="1"/>
  <c r="A302" i="1"/>
  <c r="A441" i="1"/>
  <c r="A442" i="1"/>
  <c r="A444" i="1"/>
  <c r="A445" i="1"/>
  <c r="A304" i="1"/>
  <c r="A29" i="1"/>
  <c r="A175" i="1"/>
  <c r="A176" i="1"/>
  <c r="A177" i="1"/>
  <c r="A178" i="1"/>
  <c r="A179" i="1"/>
  <c r="A310" i="1"/>
  <c r="A311" i="1"/>
  <c r="A312" i="1"/>
  <c r="A313" i="1"/>
  <c r="A314" i="1"/>
  <c r="A315" i="1"/>
  <c r="A316" i="1"/>
  <c r="A197" i="1"/>
  <c r="A198" i="1"/>
  <c r="A199" i="1"/>
  <c r="A200" i="1"/>
  <c r="A201" i="1"/>
  <c r="A202" i="1"/>
  <c r="A317" i="1"/>
  <c r="A318" i="1"/>
  <c r="A319" i="1"/>
  <c r="A326" i="1"/>
  <c r="A327" i="1"/>
  <c r="A328" i="1"/>
  <c r="A329" i="1"/>
  <c r="A451" i="1"/>
  <c r="A335" i="1"/>
  <c r="A336" i="1"/>
  <c r="A337" i="1"/>
  <c r="A338" i="1"/>
  <c r="A339" i="1"/>
  <c r="A458" i="1"/>
  <c r="A214" i="1"/>
  <c r="A215" i="1"/>
  <c r="A216" i="1"/>
  <c r="A459" i="1"/>
  <c r="A357" i="1"/>
  <c r="A358" i="1"/>
  <c r="A359" i="1"/>
  <c r="A360" i="1"/>
  <c r="A361" i="1"/>
  <c r="A362" i="1"/>
  <c r="A363" i="1"/>
  <c r="A367" i="1"/>
  <c r="A368" i="1"/>
  <c r="A369" i="1"/>
  <c r="A37" i="1"/>
  <c r="A38" i="1"/>
  <c r="A39" i="1"/>
  <c r="A40" i="1"/>
  <c r="A41" i="1"/>
  <c r="A461" i="1"/>
  <c r="A65" i="1"/>
  <c r="A66" i="1"/>
  <c r="A67" i="1"/>
  <c r="A77" i="1"/>
  <c r="A78" i="1"/>
  <c r="A79" i="1"/>
  <c r="A81" i="1"/>
  <c r="A462" i="1"/>
  <c r="A463" i="1"/>
  <c r="A464" i="1"/>
  <c r="A465" i="1"/>
  <c r="A466" i="1"/>
  <c r="A467" i="1"/>
  <c r="A83" i="1"/>
  <c r="A233" i="1"/>
  <c r="A234" i="1"/>
  <c r="A235" i="1"/>
  <c r="A236" i="1"/>
  <c r="A92" i="1"/>
  <c r="A237" i="1"/>
  <c r="A238" i="1"/>
  <c r="A239" i="1"/>
  <c r="A240" i="1"/>
  <c r="A389" i="1"/>
  <c r="A241" i="1"/>
  <c r="A249" i="1"/>
  <c r="A250" i="1"/>
  <c r="A251" i="1"/>
  <c r="A252" i="1"/>
  <c r="A93" i="1"/>
  <c r="A477" i="1"/>
  <c r="A478" i="1"/>
  <c r="A479" i="1"/>
  <c r="A480" i="1"/>
  <c r="A481" i="1"/>
  <c r="A257" i="1"/>
  <c r="A258" i="1"/>
  <c r="A94" i="1"/>
  <c r="A95" i="1"/>
  <c r="A96" i="1"/>
  <c r="A97" i="1"/>
  <c r="A98" i="1"/>
  <c r="A484" i="1"/>
  <c r="A103" i="1"/>
  <c r="A104" i="1"/>
  <c r="A105" i="1"/>
  <c r="A106" i="1"/>
  <c r="A107" i="1"/>
  <c r="A108" i="1"/>
  <c r="A109" i="1"/>
  <c r="A409" i="1"/>
  <c r="A410" i="1"/>
  <c r="A411" i="1"/>
  <c r="A412" i="1"/>
  <c r="A413" i="1"/>
  <c r="A414" i="1"/>
  <c r="A415" i="1"/>
  <c r="A416" i="1"/>
  <c r="A417" i="1"/>
  <c r="A418" i="1"/>
  <c r="A419" i="1"/>
  <c r="A420" i="1"/>
  <c r="A421" i="1"/>
  <c r="A422" i="1"/>
  <c r="A423" i="1"/>
  <c r="A424" i="1"/>
  <c r="A425" i="1"/>
  <c r="A426" i="1"/>
  <c r="A427" i="1"/>
  <c r="A428" i="1"/>
  <c r="A429" i="1"/>
  <c r="A262" i="1"/>
  <c r="A263" i="1"/>
  <c r="A264" i="1"/>
  <c r="A265" i="1"/>
  <c r="A268" i="1"/>
  <c r="A269" i="1"/>
  <c r="A491" i="1"/>
  <c r="A493" i="1"/>
  <c r="A118" i="1"/>
  <c r="A505" i="1"/>
  <c r="A506" i="1"/>
  <c r="A430" i="1"/>
  <c r="A431" i="1"/>
  <c r="A509" i="1"/>
  <c r="A512" i="1"/>
  <c r="A519" i="1"/>
  <c r="A522" i="1"/>
  <c r="A523" i="1"/>
  <c r="A136" i="1"/>
  <c r="A137" i="1"/>
  <c r="A138" i="1"/>
  <c r="A525" i="1"/>
  <c r="A486" i="1"/>
  <c r="A487" i="1"/>
  <c r="A488" i="1"/>
  <c r="A99" i="1"/>
  <c r="A100" i="1"/>
  <c r="A101" i="1"/>
  <c r="A84" i="1"/>
  <c r="A85" i="1"/>
  <c r="A86" i="1"/>
  <c r="A87" i="1"/>
  <c r="A88" i="1"/>
  <c r="A89" i="1"/>
  <c r="A61" i="1"/>
  <c r="A276" i="1"/>
  <c r="A270" i="1"/>
  <c r="A271" i="1"/>
  <c r="A272" i="1"/>
  <c r="A273" i="1"/>
  <c r="A274" i="1"/>
  <c r="A275" i="1"/>
  <c r="A460" i="1"/>
  <c r="A364" i="1"/>
  <c r="A365" i="1"/>
  <c r="A366" i="1"/>
  <c r="A494" i="1"/>
  <c r="A443" i="1"/>
  <c r="A139" i="1"/>
  <c r="A140" i="1"/>
  <c r="A141" i="1"/>
  <c r="A126" i="1"/>
  <c r="A127" i="1"/>
  <c r="A128" i="1"/>
  <c r="A115" i="1"/>
  <c r="A116" i="1"/>
  <c r="A117" i="1"/>
  <c r="A447" i="1"/>
  <c r="A448" i="1"/>
  <c r="A449" i="1"/>
  <c r="A450" i="1"/>
  <c r="A474" i="1"/>
  <c r="A129" i="1"/>
  <c r="A130" i="1"/>
  <c r="A131" i="1"/>
  <c r="A132" i="1"/>
  <c r="A133" i="1"/>
  <c r="A134" i="1"/>
  <c r="A135" i="1"/>
  <c r="A102" i="1"/>
  <c r="A162" i="1"/>
  <c r="A167" i="1"/>
  <c r="A168" i="1"/>
  <c r="A169" i="1"/>
  <c r="A170" i="1"/>
  <c r="A171" i="1"/>
  <c r="A172" i="1"/>
  <c r="A173" i="1"/>
  <c r="A174" i="1"/>
  <c r="A210" i="1"/>
  <c r="A211" i="1"/>
  <c r="A212" i="1"/>
  <c r="A213" i="1"/>
  <c r="A223" i="1"/>
  <c r="A224" i="1"/>
  <c r="A225" i="1"/>
  <c r="A226" i="1"/>
  <c r="A227" i="1"/>
  <c r="A228" i="1"/>
  <c r="A229" i="1"/>
  <c r="A230" i="1"/>
  <c r="A231" i="1"/>
  <c r="A346" i="1"/>
  <c r="A347" i="1"/>
  <c r="A348" i="1"/>
  <c r="A332" i="1"/>
  <c r="A333" i="1"/>
  <c r="A334" i="1"/>
  <c r="A513" i="1"/>
  <c r="A495" i="1"/>
  <c r="A496" i="1"/>
  <c r="A50" i="1"/>
  <c r="A51" i="1"/>
  <c r="A52" i="1"/>
  <c r="A53" i="1"/>
  <c r="A54" i="1"/>
  <c r="A281" i="1"/>
  <c r="A514" i="1"/>
  <c r="B27" i="9"/>
  <c r="B28" i="9"/>
  <c r="B29" i="9"/>
  <c r="B30" i="9"/>
  <c r="B31" i="9"/>
  <c r="B32" i="9"/>
  <c r="B33" i="9"/>
  <c r="B34" i="9"/>
  <c r="N30" i="9"/>
  <c r="N31" i="9"/>
  <c r="C5" i="10"/>
  <c r="K30" i="9"/>
  <c r="M30" i="9"/>
  <c r="K31" i="9"/>
  <c r="M31" i="9"/>
  <c r="L30" i="9"/>
  <c r="L31" i="9"/>
  <c r="N11" i="9"/>
  <c r="C4" i="10"/>
  <c r="K11" i="9"/>
  <c r="M11" i="9"/>
  <c r="N10" i="9"/>
  <c r="L11" i="9"/>
  <c r="B68" i="9"/>
  <c r="B69" i="9"/>
  <c r="B70" i="9"/>
  <c r="B71" i="9"/>
  <c r="N57" i="9"/>
  <c r="L57" i="9"/>
  <c r="K57" i="9"/>
  <c r="M57" i="9"/>
  <c r="B57" i="9"/>
  <c r="N44" i="9"/>
  <c r="L44" i="9"/>
  <c r="K44" i="9"/>
  <c r="M44" i="9"/>
  <c r="B44" i="9"/>
  <c r="N43" i="9"/>
  <c r="L43" i="9"/>
  <c r="K43" i="9"/>
  <c r="M43" i="9"/>
  <c r="B43" i="9"/>
  <c r="N42" i="9"/>
  <c r="L42" i="9"/>
  <c r="K42" i="9"/>
  <c r="M42" i="9"/>
  <c r="B42" i="9"/>
  <c r="N41" i="9"/>
  <c r="L41" i="9"/>
  <c r="K41" i="9"/>
  <c r="M41" i="9"/>
  <c r="B41" i="9"/>
  <c r="N7" i="9"/>
  <c r="L7" i="9"/>
  <c r="K7" i="9"/>
  <c r="M7" i="9"/>
  <c r="N14" i="9"/>
  <c r="L14" i="9"/>
  <c r="K14" i="9"/>
  <c r="M14" i="9"/>
  <c r="N53" i="9"/>
  <c r="L53" i="9"/>
  <c r="K53" i="9"/>
  <c r="M53" i="9"/>
  <c r="B53" i="9"/>
  <c r="N49" i="9"/>
  <c r="L49" i="9"/>
  <c r="B49" i="9"/>
  <c r="K49" i="9"/>
  <c r="M49" i="9"/>
  <c r="B38" i="9"/>
  <c r="B67" i="9"/>
  <c r="B37" i="9"/>
  <c r="B39" i="9"/>
  <c r="B46" i="9"/>
  <c r="B47" i="9"/>
  <c r="B48" i="9"/>
  <c r="B50" i="9"/>
  <c r="N3" i="9"/>
  <c r="L3" i="9"/>
  <c r="B3" i="9"/>
  <c r="N8" i="9"/>
  <c r="L8" i="9"/>
  <c r="B52" i="9"/>
  <c r="B51" i="9"/>
  <c r="A434" i="1"/>
  <c r="N25" i="9"/>
  <c r="N19" i="9"/>
  <c r="L25" i="9"/>
  <c r="L19" i="9"/>
  <c r="N21" i="9"/>
  <c r="N29" i="9"/>
  <c r="N23" i="9"/>
  <c r="N24" i="9"/>
  <c r="N12" i="9"/>
  <c r="N22" i="9"/>
  <c r="L24" i="9"/>
  <c r="L12" i="9"/>
  <c r="L23" i="9"/>
  <c r="L29" i="9"/>
  <c r="L21" i="9"/>
  <c r="L22" i="9"/>
  <c r="N16" i="9"/>
  <c r="B26" i="9"/>
  <c r="L16" i="9"/>
  <c r="L48" i="9"/>
  <c r="N48" i="9"/>
  <c r="L50" i="9"/>
  <c r="N50" i="9"/>
  <c r="L55" i="9"/>
  <c r="N55" i="9"/>
  <c r="L56" i="9"/>
  <c r="N56" i="9"/>
  <c r="L58" i="9"/>
  <c r="N58" i="9"/>
  <c r="L59" i="9"/>
  <c r="N59" i="9"/>
  <c r="L60" i="9"/>
  <c r="N60" i="9"/>
  <c r="L61" i="9"/>
  <c r="N61" i="9"/>
  <c r="L62" i="9"/>
  <c r="N62" i="9"/>
  <c r="L63" i="9"/>
  <c r="N63" i="9"/>
  <c r="L64" i="9"/>
  <c r="N64" i="9"/>
  <c r="L65" i="9"/>
  <c r="N65" i="9"/>
  <c r="L66" i="9"/>
  <c r="N66" i="9"/>
  <c r="L67" i="9"/>
  <c r="N67" i="9"/>
  <c r="L38" i="9"/>
  <c r="N38" i="9"/>
  <c r="L68" i="9"/>
  <c r="N68" i="9"/>
  <c r="L69" i="9"/>
  <c r="N69" i="9"/>
  <c r="L70" i="9"/>
  <c r="N70" i="9"/>
  <c r="L71" i="9"/>
  <c r="N71" i="9"/>
  <c r="L72" i="9"/>
  <c r="N72" i="9"/>
  <c r="L73" i="9"/>
  <c r="N73" i="9"/>
  <c r="L74" i="9"/>
  <c r="N74" i="9"/>
  <c r="L75" i="9"/>
  <c r="N75" i="9"/>
  <c r="L76" i="9"/>
  <c r="N76" i="9"/>
  <c r="L77" i="9"/>
  <c r="N77" i="9"/>
  <c r="L78" i="9"/>
  <c r="N78" i="9"/>
  <c r="L79" i="9"/>
  <c r="N79" i="9"/>
  <c r="L80" i="9"/>
  <c r="N80" i="9"/>
  <c r="L81" i="9"/>
  <c r="N81" i="9"/>
  <c r="L82" i="9"/>
  <c r="N82" i="9"/>
  <c r="L83" i="9"/>
  <c r="N83" i="9"/>
  <c r="L84" i="9"/>
  <c r="N84" i="9"/>
  <c r="L85" i="9"/>
  <c r="N85" i="9"/>
  <c r="L86" i="9"/>
  <c r="N86" i="9"/>
  <c r="L87" i="9"/>
  <c r="N87" i="9"/>
  <c r="L88" i="9"/>
  <c r="N88" i="9"/>
  <c r="L89" i="9"/>
  <c r="N89" i="9"/>
  <c r="L90" i="9"/>
  <c r="N90" i="9"/>
  <c r="L91" i="9"/>
  <c r="N91" i="9"/>
  <c r="L92" i="9"/>
  <c r="N92" i="9"/>
  <c r="L93" i="9"/>
  <c r="N93" i="9"/>
  <c r="L94" i="9"/>
  <c r="N94" i="9"/>
  <c r="L95" i="9"/>
  <c r="N95" i="9"/>
  <c r="L96" i="9"/>
  <c r="N96" i="9"/>
  <c r="L97" i="9"/>
  <c r="N97" i="9"/>
  <c r="L98" i="9"/>
  <c r="N98" i="9"/>
  <c r="L99" i="9"/>
  <c r="N99" i="9"/>
  <c r="L100" i="9"/>
  <c r="N100" i="9"/>
  <c r="L101" i="9"/>
  <c r="N101" i="9"/>
  <c r="L102" i="9"/>
  <c r="N102" i="9"/>
  <c r="L103" i="9"/>
  <c r="N103" i="9"/>
  <c r="L104" i="9"/>
  <c r="N104" i="9"/>
  <c r="L105" i="9"/>
  <c r="N105" i="9"/>
  <c r="L106" i="9"/>
  <c r="N106" i="9"/>
  <c r="L107" i="9"/>
  <c r="N107" i="9"/>
  <c r="L108" i="9"/>
  <c r="N108" i="9"/>
  <c r="L109" i="9"/>
  <c r="N109" i="9"/>
  <c r="L110" i="9"/>
  <c r="N110" i="9"/>
  <c r="L111" i="9"/>
  <c r="N111" i="9"/>
  <c r="L112" i="9"/>
  <c r="N112" i="9"/>
  <c r="L113" i="9"/>
  <c r="N113" i="9"/>
  <c r="L114" i="9"/>
  <c r="N114" i="9"/>
  <c r="L115" i="9"/>
  <c r="N115" i="9"/>
  <c r="L116" i="9"/>
  <c r="N116" i="9"/>
  <c r="L117" i="9"/>
  <c r="N117" i="9"/>
  <c r="L118" i="9"/>
  <c r="N118" i="9"/>
  <c r="L119" i="9"/>
  <c r="N119" i="9"/>
  <c r="L120" i="9"/>
  <c r="N120" i="9"/>
  <c r="L121" i="9"/>
  <c r="N121" i="9"/>
  <c r="L122" i="9"/>
  <c r="N122" i="9"/>
  <c r="L123" i="9"/>
  <c r="N123" i="9"/>
  <c r="L124" i="9"/>
  <c r="N124" i="9"/>
  <c r="L125" i="9"/>
  <c r="N125" i="9"/>
  <c r="L126" i="9"/>
  <c r="N126" i="9"/>
  <c r="L127" i="9"/>
  <c r="N127" i="9"/>
  <c r="L128" i="9"/>
  <c r="N128" i="9"/>
  <c r="L129" i="9"/>
  <c r="N129" i="9"/>
  <c r="L130" i="9"/>
  <c r="N130" i="9"/>
  <c r="L131" i="9"/>
  <c r="N131" i="9"/>
  <c r="L132" i="9"/>
  <c r="N132" i="9"/>
  <c r="L133" i="9"/>
  <c r="N133" i="9"/>
  <c r="L134" i="9"/>
  <c r="N134" i="9"/>
  <c r="L135" i="9"/>
  <c r="N135" i="9"/>
  <c r="L136" i="9"/>
  <c r="N136" i="9"/>
  <c r="L137" i="9"/>
  <c r="N137" i="9"/>
  <c r="L138" i="9"/>
  <c r="N138" i="9"/>
  <c r="L139" i="9"/>
  <c r="N139" i="9"/>
  <c r="L140" i="9"/>
  <c r="N140" i="9"/>
  <c r="L141" i="9"/>
  <c r="N141" i="9"/>
  <c r="L142" i="9"/>
  <c r="N142" i="9"/>
  <c r="L143" i="9"/>
  <c r="N143" i="9"/>
  <c r="L144" i="9"/>
  <c r="N144" i="9"/>
  <c r="L145" i="9"/>
  <c r="N145" i="9"/>
  <c r="L146" i="9"/>
  <c r="N146" i="9"/>
  <c r="L147" i="9"/>
  <c r="N147" i="9"/>
  <c r="L148" i="9"/>
  <c r="N148" i="9"/>
  <c r="L149" i="9"/>
  <c r="N149" i="9"/>
  <c r="L150" i="9"/>
  <c r="N150" i="9"/>
  <c r="L151" i="9"/>
  <c r="N151" i="9"/>
  <c r="L152" i="9"/>
  <c r="N152" i="9"/>
  <c r="L153" i="9"/>
  <c r="N153" i="9"/>
  <c r="L154" i="9"/>
  <c r="N154" i="9"/>
  <c r="L155" i="9"/>
  <c r="N155" i="9"/>
  <c r="L156" i="9"/>
  <c r="N156" i="9"/>
  <c r="L157" i="9"/>
  <c r="N157" i="9"/>
  <c r="L158" i="9"/>
  <c r="N158" i="9"/>
  <c r="L159" i="9"/>
  <c r="N159" i="9"/>
  <c r="L160" i="9"/>
  <c r="N160" i="9"/>
  <c r="L161" i="9"/>
  <c r="N161" i="9"/>
  <c r="L162" i="9"/>
  <c r="N162" i="9"/>
  <c r="L163" i="9"/>
  <c r="N163" i="9"/>
  <c r="L164" i="9"/>
  <c r="N164" i="9"/>
  <c r="L165" i="9"/>
  <c r="N165" i="9"/>
  <c r="L166" i="9"/>
  <c r="N166" i="9"/>
  <c r="L167" i="9"/>
  <c r="N167" i="9"/>
  <c r="L168" i="9"/>
  <c r="N168" i="9"/>
  <c r="L169" i="9"/>
  <c r="N169" i="9"/>
  <c r="L170" i="9"/>
  <c r="N170" i="9"/>
  <c r="L171" i="9"/>
  <c r="N171" i="9"/>
  <c r="L172" i="9"/>
  <c r="N172" i="9"/>
  <c r="L173" i="9"/>
  <c r="N173" i="9"/>
  <c r="L174" i="9"/>
  <c r="N174" i="9"/>
  <c r="L175" i="9"/>
  <c r="N175" i="9"/>
  <c r="L176" i="9"/>
  <c r="N176" i="9"/>
  <c r="L177" i="9"/>
  <c r="N177" i="9"/>
  <c r="L178" i="9"/>
  <c r="N178" i="9"/>
  <c r="L179" i="9"/>
  <c r="N179" i="9"/>
  <c r="L180" i="9"/>
  <c r="N180" i="9"/>
  <c r="L181" i="9"/>
  <c r="N181" i="9"/>
  <c r="L182" i="9"/>
  <c r="N182" i="9"/>
  <c r="L183" i="9"/>
  <c r="N183" i="9"/>
  <c r="L184" i="9"/>
  <c r="N184" i="9"/>
  <c r="L185" i="9"/>
  <c r="N185" i="9"/>
  <c r="L186" i="9"/>
  <c r="N186" i="9"/>
  <c r="L187" i="9"/>
  <c r="N187" i="9"/>
  <c r="L188" i="9"/>
  <c r="N188" i="9"/>
  <c r="L189" i="9"/>
  <c r="N189" i="9"/>
  <c r="L190" i="9"/>
  <c r="N190" i="9"/>
  <c r="L191" i="9"/>
  <c r="N191" i="9"/>
  <c r="L192" i="9"/>
  <c r="N192" i="9"/>
  <c r="L193" i="9"/>
  <c r="N193" i="9"/>
  <c r="L194" i="9"/>
  <c r="N194" i="9"/>
  <c r="L195" i="9"/>
  <c r="N195" i="9"/>
  <c r="L196" i="9"/>
  <c r="N196" i="9"/>
  <c r="L197" i="9"/>
  <c r="N197" i="9"/>
  <c r="L198" i="9"/>
  <c r="N198" i="9"/>
  <c r="L199" i="9"/>
  <c r="N199" i="9"/>
  <c r="L200" i="9"/>
  <c r="N200" i="9"/>
  <c r="L201" i="9"/>
  <c r="N201" i="9"/>
  <c r="L202" i="9"/>
  <c r="N202" i="9"/>
  <c r="L203" i="9"/>
  <c r="N203" i="9"/>
  <c r="L204" i="9"/>
  <c r="N204" i="9"/>
  <c r="L205" i="9"/>
  <c r="N205" i="9"/>
  <c r="L206" i="9"/>
  <c r="N206" i="9"/>
  <c r="L207" i="9"/>
  <c r="N207" i="9"/>
  <c r="L208" i="9"/>
  <c r="N208" i="9"/>
  <c r="L209" i="9"/>
  <c r="N209" i="9"/>
  <c r="L210" i="9"/>
  <c r="N210" i="9"/>
  <c r="L211" i="9"/>
  <c r="N211" i="9"/>
  <c r="L212" i="9"/>
  <c r="N212" i="9"/>
  <c r="L213" i="9"/>
  <c r="N213" i="9"/>
  <c r="L214" i="9"/>
  <c r="N214" i="9"/>
  <c r="L215" i="9"/>
  <c r="N215" i="9"/>
  <c r="L216" i="9"/>
  <c r="N216" i="9"/>
  <c r="L217" i="9"/>
  <c r="N217" i="9"/>
  <c r="L218" i="9"/>
  <c r="N218" i="9"/>
  <c r="L219" i="9"/>
  <c r="N219" i="9"/>
  <c r="L220" i="9"/>
  <c r="N220" i="9"/>
  <c r="L221" i="9"/>
  <c r="N221" i="9"/>
  <c r="L222" i="9"/>
  <c r="N222" i="9"/>
  <c r="L223" i="9"/>
  <c r="N223" i="9"/>
  <c r="L224" i="9"/>
  <c r="N224" i="9"/>
  <c r="L225" i="9"/>
  <c r="N225" i="9"/>
  <c r="L226" i="9"/>
  <c r="N226" i="9"/>
  <c r="L227" i="9"/>
  <c r="N227" i="9"/>
  <c r="L228" i="9"/>
  <c r="N228" i="9"/>
  <c r="L229" i="9"/>
  <c r="N229" i="9"/>
  <c r="L230" i="9"/>
  <c r="N230" i="9"/>
  <c r="L231" i="9"/>
  <c r="N231" i="9"/>
  <c r="L232" i="9"/>
  <c r="N232" i="9"/>
  <c r="L233" i="9"/>
  <c r="N233" i="9"/>
  <c r="L234" i="9"/>
  <c r="N234" i="9"/>
  <c r="L235" i="9"/>
  <c r="N235" i="9"/>
  <c r="L236" i="9"/>
  <c r="N236" i="9"/>
  <c r="L237" i="9"/>
  <c r="N237" i="9"/>
  <c r="L238" i="9"/>
  <c r="N238" i="9"/>
  <c r="L239" i="9"/>
  <c r="N239" i="9"/>
  <c r="L240" i="9"/>
  <c r="N240" i="9"/>
  <c r="L241" i="9"/>
  <c r="N241" i="9"/>
  <c r="L242" i="9"/>
  <c r="N242" i="9"/>
  <c r="L243" i="9"/>
  <c r="N243" i="9"/>
  <c r="L244" i="9"/>
  <c r="N244" i="9"/>
  <c r="L245" i="9"/>
  <c r="N245" i="9"/>
  <c r="L246" i="9"/>
  <c r="N246" i="9"/>
  <c r="L247" i="9"/>
  <c r="N247" i="9"/>
  <c r="L248" i="9"/>
  <c r="N248" i="9"/>
  <c r="L249" i="9"/>
  <c r="N249" i="9"/>
  <c r="L250" i="9"/>
  <c r="N250" i="9"/>
  <c r="L251" i="9"/>
  <c r="N251" i="9"/>
  <c r="L252" i="9"/>
  <c r="N252" i="9"/>
  <c r="L253" i="9"/>
  <c r="N253" i="9"/>
  <c r="L254" i="9"/>
  <c r="N254" i="9"/>
  <c r="L255" i="9"/>
  <c r="N255" i="9"/>
  <c r="L256" i="9"/>
  <c r="N256" i="9"/>
  <c r="L257" i="9"/>
  <c r="N257" i="9"/>
  <c r="L258" i="9"/>
  <c r="N258" i="9"/>
  <c r="L259" i="9"/>
  <c r="N259" i="9"/>
  <c r="L260" i="9"/>
  <c r="N260" i="9"/>
  <c r="L261" i="9"/>
  <c r="N261" i="9"/>
  <c r="L262" i="9"/>
  <c r="N262" i="9"/>
  <c r="L263" i="9"/>
  <c r="N263" i="9"/>
  <c r="L264" i="9"/>
  <c r="N264" i="9"/>
  <c r="L265" i="9"/>
  <c r="N265" i="9"/>
  <c r="L266" i="9"/>
  <c r="N266" i="9"/>
  <c r="L267" i="9"/>
  <c r="N267" i="9"/>
  <c r="L268" i="9"/>
  <c r="N268" i="9"/>
  <c r="L269" i="9"/>
  <c r="N269" i="9"/>
  <c r="L270" i="9"/>
  <c r="N270" i="9"/>
  <c r="L271" i="9"/>
  <c r="N271" i="9"/>
  <c r="L272" i="9"/>
  <c r="N272" i="9"/>
  <c r="L273" i="9"/>
  <c r="N273" i="9"/>
  <c r="L274" i="9"/>
  <c r="N274" i="9"/>
  <c r="L275" i="9"/>
  <c r="N275" i="9"/>
  <c r="L276" i="9"/>
  <c r="N276" i="9"/>
  <c r="L277" i="9"/>
  <c r="N277" i="9"/>
  <c r="L278" i="9"/>
  <c r="N278" i="9"/>
  <c r="L279" i="9"/>
  <c r="N279" i="9"/>
  <c r="L280" i="9"/>
  <c r="N280" i="9"/>
  <c r="L281" i="9"/>
  <c r="N281" i="9"/>
  <c r="L282" i="9"/>
  <c r="N282" i="9"/>
  <c r="L283" i="9"/>
  <c r="N283" i="9"/>
  <c r="L284" i="9"/>
  <c r="N284" i="9"/>
  <c r="L285" i="9"/>
  <c r="N285" i="9"/>
  <c r="L286" i="9"/>
  <c r="N286" i="9"/>
  <c r="L287" i="9"/>
  <c r="N287" i="9"/>
  <c r="L288" i="9"/>
  <c r="N288" i="9"/>
  <c r="L289" i="9"/>
  <c r="N289" i="9"/>
  <c r="L290" i="9"/>
  <c r="N290" i="9"/>
  <c r="L291" i="9"/>
  <c r="N291" i="9"/>
  <c r="L292" i="9"/>
  <c r="N292" i="9"/>
  <c r="L293" i="9"/>
  <c r="N293" i="9"/>
  <c r="L294" i="9"/>
  <c r="N294" i="9"/>
  <c r="L295" i="9"/>
  <c r="N295" i="9"/>
  <c r="L296" i="9"/>
  <c r="N296" i="9"/>
  <c r="L297" i="9"/>
  <c r="N297" i="9"/>
  <c r="L298" i="9"/>
  <c r="N298" i="9"/>
  <c r="L299" i="9"/>
  <c r="N299" i="9"/>
  <c r="L300" i="9"/>
  <c r="N300" i="9"/>
  <c r="L301" i="9"/>
  <c r="N301" i="9"/>
  <c r="L302" i="9"/>
  <c r="N302" i="9"/>
  <c r="L303" i="9"/>
  <c r="N303" i="9"/>
  <c r="L304" i="9"/>
  <c r="N304" i="9"/>
  <c r="L305" i="9"/>
  <c r="N305" i="9"/>
  <c r="L306" i="9"/>
  <c r="N306" i="9"/>
  <c r="L307" i="9"/>
  <c r="N307" i="9"/>
  <c r="L308" i="9"/>
  <c r="N308" i="9"/>
  <c r="L309" i="9"/>
  <c r="N309" i="9"/>
  <c r="L310" i="9"/>
  <c r="N310" i="9"/>
  <c r="L311" i="9"/>
  <c r="N311" i="9"/>
  <c r="L312" i="9"/>
  <c r="N312" i="9"/>
  <c r="L313" i="9"/>
  <c r="N313" i="9"/>
  <c r="L314" i="9"/>
  <c r="N314" i="9"/>
  <c r="L315" i="9"/>
  <c r="N315" i="9"/>
  <c r="L316" i="9"/>
  <c r="N316" i="9"/>
  <c r="L317" i="9"/>
  <c r="N317" i="9"/>
  <c r="L318" i="9"/>
  <c r="N318" i="9"/>
  <c r="L319" i="9"/>
  <c r="N319" i="9"/>
  <c r="L320" i="9"/>
  <c r="N320" i="9"/>
  <c r="L321" i="9"/>
  <c r="N321" i="9"/>
  <c r="L322" i="9"/>
  <c r="N322" i="9"/>
  <c r="L323" i="9"/>
  <c r="N323" i="9"/>
  <c r="L324" i="9"/>
  <c r="N324" i="9"/>
  <c r="L325" i="9"/>
  <c r="N325" i="9"/>
  <c r="L326" i="9"/>
  <c r="N326" i="9"/>
  <c r="L327" i="9"/>
  <c r="N327" i="9"/>
  <c r="L328" i="9"/>
  <c r="N328" i="9"/>
  <c r="L329" i="9"/>
  <c r="N329" i="9"/>
  <c r="L330" i="9"/>
  <c r="N330" i="9"/>
  <c r="L331" i="9"/>
  <c r="N331" i="9"/>
  <c r="L332" i="9"/>
  <c r="N332" i="9"/>
  <c r="L333" i="9"/>
  <c r="N333" i="9"/>
  <c r="L334" i="9"/>
  <c r="N334" i="9"/>
  <c r="L335" i="9"/>
  <c r="N335" i="9"/>
  <c r="L336" i="9"/>
  <c r="N336" i="9"/>
  <c r="L337" i="9"/>
  <c r="N337" i="9"/>
  <c r="L338" i="9"/>
  <c r="N338" i="9"/>
  <c r="L339" i="9"/>
  <c r="N339" i="9"/>
  <c r="L340" i="9"/>
  <c r="N340" i="9"/>
  <c r="L341" i="9"/>
  <c r="N341" i="9"/>
  <c r="L342" i="9"/>
  <c r="N342" i="9"/>
  <c r="L343" i="9"/>
  <c r="N343" i="9"/>
  <c r="L344" i="9"/>
  <c r="N344" i="9"/>
  <c r="L345" i="9"/>
  <c r="N345" i="9"/>
  <c r="L346" i="9"/>
  <c r="N346" i="9"/>
  <c r="L347" i="9"/>
  <c r="N347" i="9"/>
  <c r="L348" i="9"/>
  <c r="N348" i="9"/>
  <c r="L349" i="9"/>
  <c r="N349" i="9"/>
  <c r="L350" i="9"/>
  <c r="N350" i="9"/>
  <c r="L351" i="9"/>
  <c r="N351" i="9"/>
  <c r="L352" i="9"/>
  <c r="N352" i="9"/>
  <c r="L353" i="9"/>
  <c r="N353" i="9"/>
  <c r="L354" i="9"/>
  <c r="N354" i="9"/>
  <c r="L355" i="9"/>
  <c r="N355" i="9"/>
  <c r="L356" i="9"/>
  <c r="N356" i="9"/>
  <c r="L357" i="9"/>
  <c r="N357" i="9"/>
  <c r="L358" i="9"/>
  <c r="N358" i="9"/>
  <c r="L359" i="9"/>
  <c r="N359" i="9"/>
  <c r="L360" i="9"/>
  <c r="N360" i="9"/>
  <c r="L361" i="9"/>
  <c r="N361" i="9"/>
  <c r="L362" i="9"/>
  <c r="N362" i="9"/>
  <c r="L363" i="9"/>
  <c r="N363" i="9"/>
  <c r="L364" i="9"/>
  <c r="N364" i="9"/>
  <c r="L365" i="9"/>
  <c r="N365" i="9"/>
  <c r="L366" i="9"/>
  <c r="N366" i="9"/>
  <c r="L367" i="9"/>
  <c r="N367" i="9"/>
  <c r="L368" i="9"/>
  <c r="N368" i="9"/>
  <c r="L369" i="9"/>
  <c r="N369" i="9"/>
  <c r="L370" i="9"/>
  <c r="N370" i="9"/>
  <c r="L371" i="9"/>
  <c r="N371" i="9"/>
  <c r="L372" i="9"/>
  <c r="N372" i="9"/>
  <c r="L373" i="9"/>
  <c r="N373" i="9"/>
  <c r="L374" i="9"/>
  <c r="N374" i="9"/>
  <c r="L375" i="9"/>
  <c r="N375" i="9"/>
  <c r="L376" i="9"/>
  <c r="N376" i="9"/>
  <c r="L377" i="9"/>
  <c r="N377" i="9"/>
  <c r="L378" i="9"/>
  <c r="N378" i="9"/>
  <c r="L379" i="9"/>
  <c r="N379" i="9"/>
  <c r="L380" i="9"/>
  <c r="N380" i="9"/>
  <c r="L381" i="9"/>
  <c r="N381" i="9"/>
  <c r="L382" i="9"/>
  <c r="N382" i="9"/>
  <c r="L383" i="9"/>
  <c r="N383" i="9"/>
  <c r="L384" i="9"/>
  <c r="N384" i="9"/>
  <c r="L385" i="9"/>
  <c r="N385" i="9"/>
  <c r="L386" i="9"/>
  <c r="N386" i="9"/>
  <c r="L387" i="9"/>
  <c r="N387" i="9"/>
  <c r="L388" i="9"/>
  <c r="N388" i="9"/>
  <c r="L389" i="9"/>
  <c r="N389" i="9"/>
  <c r="L390" i="9"/>
  <c r="N390" i="9"/>
  <c r="L391" i="9"/>
  <c r="N391" i="9"/>
  <c r="L392" i="9"/>
  <c r="N392" i="9"/>
  <c r="L393" i="9"/>
  <c r="N393" i="9"/>
  <c r="L394" i="9"/>
  <c r="N394" i="9"/>
  <c r="L395" i="9"/>
  <c r="N395" i="9"/>
  <c r="L396" i="9"/>
  <c r="N396" i="9"/>
  <c r="L397" i="9"/>
  <c r="N397" i="9"/>
  <c r="L398" i="9"/>
  <c r="N398" i="9"/>
  <c r="L399" i="9"/>
  <c r="N399" i="9"/>
  <c r="L400" i="9"/>
  <c r="N400" i="9"/>
  <c r="L401" i="9"/>
  <c r="N401" i="9"/>
  <c r="L402" i="9"/>
  <c r="N402" i="9"/>
  <c r="L403" i="9"/>
  <c r="N403" i="9"/>
  <c r="L404" i="9"/>
  <c r="N404" i="9"/>
  <c r="L405" i="9"/>
  <c r="N405" i="9"/>
  <c r="L406" i="9"/>
  <c r="N406" i="9"/>
  <c r="L407" i="9"/>
  <c r="N407" i="9"/>
  <c r="L408" i="9"/>
  <c r="N408" i="9"/>
  <c r="L409" i="9"/>
  <c r="N409" i="9"/>
  <c r="L410" i="9"/>
  <c r="N410" i="9"/>
  <c r="L411" i="9"/>
  <c r="N411" i="9"/>
  <c r="L412" i="9"/>
  <c r="N412" i="9"/>
  <c r="L413" i="9"/>
  <c r="N413" i="9"/>
  <c r="L414" i="9"/>
  <c r="N414" i="9"/>
  <c r="L415" i="9"/>
  <c r="N415" i="9"/>
  <c r="L416" i="9"/>
  <c r="N416" i="9"/>
  <c r="L417" i="9"/>
  <c r="N417" i="9"/>
  <c r="L418" i="9"/>
  <c r="N418" i="9"/>
  <c r="L419" i="9"/>
  <c r="N419" i="9"/>
  <c r="L420" i="9"/>
  <c r="N420" i="9"/>
  <c r="L421" i="9"/>
  <c r="N421" i="9"/>
  <c r="L422" i="9"/>
  <c r="N422" i="9"/>
  <c r="L423" i="9"/>
  <c r="N423" i="9"/>
  <c r="L424" i="9"/>
  <c r="N424" i="9"/>
  <c r="L425" i="9"/>
  <c r="N425" i="9"/>
  <c r="L426" i="9"/>
  <c r="N426" i="9"/>
  <c r="L427" i="9"/>
  <c r="N427" i="9"/>
  <c r="L428" i="9"/>
  <c r="N428" i="9"/>
  <c r="L429" i="9"/>
  <c r="N429" i="9"/>
  <c r="L430" i="9"/>
  <c r="N430" i="9"/>
  <c r="L431" i="9"/>
  <c r="N431" i="9"/>
  <c r="L432" i="9"/>
  <c r="N432" i="9"/>
  <c r="L433" i="9"/>
  <c r="N433" i="9"/>
  <c r="L434" i="9"/>
  <c r="N434" i="9"/>
  <c r="L435" i="9"/>
  <c r="N435" i="9"/>
  <c r="L436" i="9"/>
  <c r="N436" i="9"/>
  <c r="L437" i="9"/>
  <c r="N437" i="9"/>
  <c r="L438" i="9"/>
  <c r="N438" i="9"/>
  <c r="L439" i="9"/>
  <c r="N439" i="9"/>
  <c r="L440" i="9"/>
  <c r="N440" i="9"/>
  <c r="L441" i="9"/>
  <c r="N441" i="9"/>
  <c r="L442" i="9"/>
  <c r="N442" i="9"/>
  <c r="L443" i="9"/>
  <c r="N443" i="9"/>
  <c r="L444" i="9"/>
  <c r="N444" i="9"/>
  <c r="L445" i="9"/>
  <c r="N445" i="9"/>
  <c r="L446" i="9"/>
  <c r="N446" i="9"/>
  <c r="L447" i="9"/>
  <c r="N447" i="9"/>
  <c r="L448" i="9"/>
  <c r="N448" i="9"/>
  <c r="L449" i="9"/>
  <c r="N449" i="9"/>
  <c r="L450" i="9"/>
  <c r="N450" i="9"/>
  <c r="L451" i="9"/>
  <c r="N451" i="9"/>
  <c r="L452" i="9"/>
  <c r="N452" i="9"/>
  <c r="L453" i="9"/>
  <c r="N453" i="9"/>
  <c r="L454" i="9"/>
  <c r="N454" i="9"/>
  <c r="L455" i="9"/>
  <c r="N455" i="9"/>
  <c r="L456" i="9"/>
  <c r="N456" i="9"/>
  <c r="L457" i="9"/>
  <c r="N457" i="9"/>
  <c r="L458" i="9"/>
  <c r="N458" i="9"/>
  <c r="L459" i="9"/>
  <c r="N459" i="9"/>
  <c r="L460" i="9"/>
  <c r="N460" i="9"/>
  <c r="L461" i="9"/>
  <c r="N461" i="9"/>
  <c r="L462" i="9"/>
  <c r="N462" i="9"/>
  <c r="L463" i="9"/>
  <c r="N463" i="9"/>
  <c r="L464" i="9"/>
  <c r="N464" i="9"/>
  <c r="L465" i="9"/>
  <c r="N465" i="9"/>
  <c r="L466" i="9"/>
  <c r="N466" i="9"/>
  <c r="L467" i="9"/>
  <c r="N467" i="9"/>
  <c r="L468" i="9"/>
  <c r="N468" i="9"/>
  <c r="L469" i="9"/>
  <c r="N469" i="9"/>
  <c r="L470" i="9"/>
  <c r="N470" i="9"/>
  <c r="L471" i="9"/>
  <c r="N471" i="9"/>
  <c r="L472" i="9"/>
  <c r="N472" i="9"/>
  <c r="L473" i="9"/>
  <c r="N473" i="9"/>
  <c r="L474" i="9"/>
  <c r="N474" i="9"/>
  <c r="L475" i="9"/>
  <c r="N475" i="9"/>
  <c r="L476" i="9"/>
  <c r="N476" i="9"/>
  <c r="L477" i="9"/>
  <c r="N477" i="9"/>
  <c r="L478" i="9"/>
  <c r="N478" i="9"/>
  <c r="L479" i="9"/>
  <c r="N479" i="9"/>
  <c r="L480" i="9"/>
  <c r="N480" i="9"/>
  <c r="L481" i="9"/>
  <c r="N481" i="9"/>
  <c r="L482" i="9"/>
  <c r="N482" i="9"/>
  <c r="L483" i="9"/>
  <c r="N483" i="9"/>
  <c r="L484" i="9"/>
  <c r="N484" i="9"/>
  <c r="L485" i="9"/>
  <c r="N485" i="9"/>
  <c r="L486" i="9"/>
  <c r="N486" i="9"/>
  <c r="L487" i="9"/>
  <c r="N487" i="9"/>
  <c r="L488" i="9"/>
  <c r="N488" i="9"/>
  <c r="L489" i="9"/>
  <c r="N489" i="9"/>
  <c r="L490" i="9"/>
  <c r="N490" i="9"/>
  <c r="L491" i="9"/>
  <c r="N491" i="9"/>
  <c r="L492" i="9"/>
  <c r="N492" i="9"/>
  <c r="L493" i="9"/>
  <c r="N493" i="9"/>
  <c r="L494" i="9"/>
  <c r="N494" i="9"/>
  <c r="L495" i="9"/>
  <c r="N495" i="9"/>
  <c r="L496" i="9"/>
  <c r="N496" i="9"/>
  <c r="L497" i="9"/>
  <c r="N497" i="9"/>
  <c r="L498" i="9"/>
  <c r="N498" i="9"/>
  <c r="L499" i="9"/>
  <c r="N499" i="9"/>
  <c r="L500" i="9"/>
  <c r="N500" i="9"/>
  <c r="L501" i="9"/>
  <c r="N501" i="9"/>
  <c r="L502" i="9"/>
  <c r="N502" i="9"/>
  <c r="L503" i="9"/>
  <c r="N503" i="9"/>
  <c r="L504" i="9"/>
  <c r="N504" i="9"/>
  <c r="L505" i="9"/>
  <c r="N505" i="9"/>
  <c r="L506" i="9"/>
  <c r="N506" i="9"/>
  <c r="L507" i="9"/>
  <c r="N507" i="9"/>
  <c r="L508" i="9"/>
  <c r="N508" i="9"/>
  <c r="L509" i="9"/>
  <c r="N509" i="9"/>
  <c r="L510" i="9"/>
  <c r="N510" i="9"/>
  <c r="L511" i="9"/>
  <c r="N511" i="9"/>
  <c r="L512" i="9"/>
  <c r="N512" i="9"/>
  <c r="L513" i="9"/>
  <c r="N513" i="9"/>
  <c r="L514" i="9"/>
  <c r="N514" i="9"/>
  <c r="L515" i="9"/>
  <c r="N515" i="9"/>
  <c r="L516" i="9"/>
  <c r="N516" i="9"/>
  <c r="L517" i="9"/>
  <c r="N517" i="9"/>
  <c r="L518" i="9"/>
  <c r="N518" i="9"/>
  <c r="L519" i="9"/>
  <c r="N519" i="9"/>
  <c r="L520" i="9"/>
  <c r="N520" i="9"/>
  <c r="L521" i="9"/>
  <c r="N521" i="9"/>
  <c r="L522" i="9"/>
  <c r="N522" i="9"/>
  <c r="L523" i="9"/>
  <c r="N523" i="9"/>
  <c r="L524" i="9"/>
  <c r="N524" i="9"/>
  <c r="L525" i="9"/>
  <c r="N525" i="9"/>
  <c r="L526" i="9"/>
  <c r="N526" i="9"/>
  <c r="L527" i="9"/>
  <c r="N527" i="9"/>
  <c r="L528" i="9"/>
  <c r="N528" i="9"/>
  <c r="L529" i="9"/>
  <c r="N529" i="9"/>
  <c r="L530" i="9"/>
  <c r="N530" i="9"/>
  <c r="L531" i="9"/>
  <c r="N531" i="9"/>
  <c r="L532" i="9"/>
  <c r="N532" i="9"/>
  <c r="L533" i="9"/>
  <c r="N533" i="9"/>
  <c r="L534" i="9"/>
  <c r="N534" i="9"/>
  <c r="L535" i="9"/>
  <c r="N535" i="9"/>
  <c r="L536" i="9"/>
  <c r="N536" i="9"/>
  <c r="L537" i="9"/>
  <c r="N537" i="9"/>
  <c r="L538" i="9"/>
  <c r="N538" i="9"/>
  <c r="L539" i="9"/>
  <c r="N539" i="9"/>
  <c r="L540" i="9"/>
  <c r="N540" i="9"/>
  <c r="L541" i="9"/>
  <c r="N541" i="9"/>
  <c r="L542" i="9"/>
  <c r="N542" i="9"/>
  <c r="L543" i="9"/>
  <c r="N543" i="9"/>
  <c r="L544" i="9"/>
  <c r="N544" i="9"/>
  <c r="L545" i="9"/>
  <c r="N545" i="9"/>
  <c r="L546" i="9"/>
  <c r="N546" i="9"/>
  <c r="L547" i="9"/>
  <c r="N547" i="9"/>
  <c r="L548" i="9"/>
  <c r="N548" i="9"/>
  <c r="L549" i="9"/>
  <c r="N549" i="9"/>
  <c r="L550" i="9"/>
  <c r="N550" i="9"/>
  <c r="L551" i="9"/>
  <c r="N551" i="9"/>
  <c r="L552" i="9"/>
  <c r="N552" i="9"/>
  <c r="L553" i="9"/>
  <c r="N553" i="9"/>
  <c r="L554" i="9"/>
  <c r="N554" i="9"/>
  <c r="L555" i="9"/>
  <c r="N555" i="9"/>
  <c r="L556" i="9"/>
  <c r="N556" i="9"/>
  <c r="L557" i="9"/>
  <c r="N557" i="9"/>
  <c r="L558" i="9"/>
  <c r="N558" i="9"/>
  <c r="L559" i="9"/>
  <c r="N559" i="9"/>
  <c r="L560" i="9"/>
  <c r="N560" i="9"/>
  <c r="L561" i="9"/>
  <c r="N561" i="9"/>
  <c r="L562" i="9"/>
  <c r="N562" i="9"/>
  <c r="L563" i="9"/>
  <c r="N563" i="9"/>
  <c r="L564" i="9"/>
  <c r="N564" i="9"/>
  <c r="L565" i="9"/>
  <c r="N565" i="9"/>
  <c r="L566" i="9"/>
  <c r="N566" i="9"/>
  <c r="L567" i="9"/>
  <c r="N567" i="9"/>
  <c r="L568" i="9"/>
  <c r="N568" i="9"/>
  <c r="L569" i="9"/>
  <c r="N569" i="9"/>
  <c r="L570" i="9"/>
  <c r="N570" i="9"/>
  <c r="L571" i="9"/>
  <c r="N571" i="9"/>
  <c r="L572" i="9"/>
  <c r="N572" i="9"/>
  <c r="L573" i="9"/>
  <c r="N573" i="9"/>
  <c r="L574" i="9"/>
  <c r="N574" i="9"/>
  <c r="L575" i="9"/>
  <c r="N575" i="9"/>
  <c r="L576" i="9"/>
  <c r="N576" i="9"/>
  <c r="L577" i="9"/>
  <c r="N577" i="9"/>
  <c r="L578" i="9"/>
  <c r="N578" i="9"/>
  <c r="L579" i="9"/>
  <c r="N579" i="9"/>
  <c r="L580" i="9"/>
  <c r="N580" i="9"/>
  <c r="L581" i="9"/>
  <c r="N581" i="9"/>
  <c r="L582" i="9"/>
  <c r="N582" i="9"/>
  <c r="L583" i="9"/>
  <c r="N583" i="9"/>
  <c r="L584" i="9"/>
  <c r="N584" i="9"/>
  <c r="L585" i="9"/>
  <c r="N585" i="9"/>
  <c r="L586" i="9"/>
  <c r="N586" i="9"/>
  <c r="L587" i="9"/>
  <c r="N587" i="9"/>
  <c r="L588" i="9"/>
  <c r="N588" i="9"/>
  <c r="N33" i="9"/>
  <c r="L6" i="9"/>
  <c r="N6" i="9"/>
  <c r="N9" i="9"/>
  <c r="L51" i="9"/>
  <c r="N51" i="9"/>
  <c r="L52" i="9"/>
  <c r="N52" i="9"/>
  <c r="L54" i="9"/>
  <c r="N54" i="9"/>
  <c r="L37" i="9"/>
  <c r="N37" i="9"/>
  <c r="L39" i="9"/>
  <c r="N39" i="9"/>
  <c r="L46" i="9"/>
  <c r="N46" i="9"/>
  <c r="L47" i="9"/>
  <c r="N47" i="9"/>
  <c r="B54" i="9"/>
  <c r="B55" i="9"/>
  <c r="B56" i="9"/>
  <c r="B58" i="9"/>
  <c r="B59" i="9"/>
  <c r="B60" i="9"/>
  <c r="B61" i="9"/>
  <c r="B62" i="9"/>
  <c r="B63" i="9"/>
  <c r="B64" i="9"/>
  <c r="B65" i="9"/>
  <c r="B66" i="9"/>
  <c r="L32" i="9"/>
  <c r="L33" i="9"/>
  <c r="L9" i="9"/>
  <c r="L10" i="9"/>
  <c r="L27" i="9"/>
  <c r="N27" i="9"/>
  <c r="L28" i="9"/>
  <c r="N28" i="9"/>
  <c r="L5" i="9"/>
  <c r="N5" i="9"/>
  <c r="L13" i="9"/>
  <c r="N13" i="9"/>
  <c r="L15" i="9"/>
  <c r="N15" i="9"/>
  <c r="L17" i="9"/>
  <c r="N17" i="9"/>
  <c r="L18" i="9"/>
  <c r="N18" i="9"/>
  <c r="L20" i="9"/>
  <c r="N20" i="9"/>
  <c r="L2" i="9"/>
  <c r="N2" i="9"/>
  <c r="L4" i="9"/>
  <c r="N4" i="9"/>
  <c r="L34" i="9"/>
  <c r="N34" i="9"/>
  <c r="L35" i="9"/>
  <c r="N35" i="9"/>
  <c r="L36" i="9"/>
  <c r="N36" i="9"/>
  <c r="L40" i="9"/>
  <c r="N40" i="9"/>
  <c r="L45" i="9"/>
  <c r="N45" i="9"/>
  <c r="N32" i="9"/>
  <c r="B5" i="9"/>
  <c r="B2" i="9"/>
  <c r="B4" i="9"/>
  <c r="B35" i="9"/>
  <c r="B36" i="9"/>
  <c r="B40" i="9"/>
  <c r="B45" i="9"/>
  <c r="A435" i="1"/>
  <c r="N26" i="9"/>
  <c r="L26" i="9"/>
  <c r="K1" i="9"/>
  <c r="B25" i="9"/>
  <c r="B24" i="9"/>
  <c r="B23" i="9"/>
  <c r="K588" i="9"/>
  <c r="M588" i="9"/>
  <c r="K587" i="9"/>
  <c r="M587" i="9"/>
  <c r="K586" i="9"/>
  <c r="M586" i="9"/>
  <c r="K585" i="9"/>
  <c r="M585" i="9"/>
  <c r="K584" i="9"/>
  <c r="M584" i="9"/>
  <c r="K583" i="9"/>
  <c r="M583" i="9"/>
  <c r="K582" i="9"/>
  <c r="M582" i="9"/>
  <c r="K581" i="9"/>
  <c r="M581" i="9"/>
  <c r="K580" i="9"/>
  <c r="M580" i="9"/>
  <c r="K579" i="9"/>
  <c r="M579" i="9"/>
  <c r="K578" i="9"/>
  <c r="M578" i="9"/>
  <c r="K577" i="9"/>
  <c r="M577" i="9"/>
  <c r="K576" i="9"/>
  <c r="M576" i="9"/>
  <c r="K575" i="9"/>
  <c r="M575" i="9"/>
  <c r="K574" i="9"/>
  <c r="M574" i="9"/>
  <c r="K573" i="9"/>
  <c r="M573" i="9"/>
  <c r="K572" i="9"/>
  <c r="M572" i="9"/>
  <c r="K571" i="9"/>
  <c r="M571" i="9"/>
  <c r="K570" i="9"/>
  <c r="M570" i="9"/>
  <c r="K569" i="9"/>
  <c r="M569" i="9"/>
  <c r="K568" i="9"/>
  <c r="M568" i="9"/>
  <c r="K567" i="9"/>
  <c r="M567" i="9"/>
  <c r="K566" i="9"/>
  <c r="M566" i="9"/>
  <c r="K565" i="9"/>
  <c r="M565" i="9"/>
  <c r="K564" i="9"/>
  <c r="M564" i="9"/>
  <c r="K563" i="9"/>
  <c r="M563" i="9"/>
  <c r="K562" i="9"/>
  <c r="M562" i="9"/>
  <c r="K561" i="9"/>
  <c r="M561" i="9"/>
  <c r="K560" i="9"/>
  <c r="M560" i="9"/>
  <c r="K559" i="9"/>
  <c r="M559" i="9"/>
  <c r="K558" i="9"/>
  <c r="M558" i="9"/>
  <c r="K557" i="9"/>
  <c r="M557" i="9"/>
  <c r="K556" i="9"/>
  <c r="M556" i="9"/>
  <c r="K555" i="9"/>
  <c r="M555" i="9"/>
  <c r="K554" i="9"/>
  <c r="M554" i="9"/>
  <c r="K553" i="9"/>
  <c r="M553" i="9"/>
  <c r="K552" i="9"/>
  <c r="M552" i="9"/>
  <c r="K551" i="9"/>
  <c r="M551" i="9"/>
  <c r="K550" i="9"/>
  <c r="M550" i="9"/>
  <c r="K549" i="9"/>
  <c r="M549" i="9"/>
  <c r="K548" i="9"/>
  <c r="M548" i="9"/>
  <c r="K547" i="9"/>
  <c r="M547" i="9"/>
  <c r="K546" i="9"/>
  <c r="M546" i="9"/>
  <c r="K545" i="9"/>
  <c r="M545" i="9"/>
  <c r="K544" i="9"/>
  <c r="M544" i="9"/>
  <c r="K543" i="9"/>
  <c r="M543" i="9"/>
  <c r="K542" i="9"/>
  <c r="M542" i="9"/>
  <c r="K541" i="9"/>
  <c r="M541" i="9"/>
  <c r="K540" i="9"/>
  <c r="M540" i="9"/>
  <c r="K539" i="9"/>
  <c r="M539" i="9"/>
  <c r="K538" i="9"/>
  <c r="M538" i="9"/>
  <c r="K537" i="9"/>
  <c r="M537" i="9"/>
  <c r="K536" i="9"/>
  <c r="M536" i="9"/>
  <c r="K535" i="9"/>
  <c r="M535" i="9"/>
  <c r="K534" i="9"/>
  <c r="M534" i="9"/>
  <c r="K533" i="9"/>
  <c r="M533" i="9"/>
  <c r="K532" i="9"/>
  <c r="M532" i="9"/>
  <c r="K531" i="9"/>
  <c r="M531" i="9"/>
  <c r="K530" i="9"/>
  <c r="M530" i="9"/>
  <c r="K529" i="9"/>
  <c r="M529" i="9"/>
  <c r="K528" i="9"/>
  <c r="M528" i="9"/>
  <c r="K527" i="9"/>
  <c r="M527" i="9"/>
  <c r="K526" i="9"/>
  <c r="M526" i="9"/>
  <c r="K525" i="9"/>
  <c r="M525" i="9"/>
  <c r="K524" i="9"/>
  <c r="M524" i="9"/>
  <c r="K523" i="9"/>
  <c r="M523" i="9"/>
  <c r="K522" i="9"/>
  <c r="M522" i="9"/>
  <c r="K521" i="9"/>
  <c r="M521" i="9"/>
  <c r="K520" i="9"/>
  <c r="M520" i="9"/>
  <c r="K519" i="9"/>
  <c r="M519" i="9"/>
  <c r="K518" i="9"/>
  <c r="M518" i="9"/>
  <c r="K517" i="9"/>
  <c r="M517" i="9"/>
  <c r="K516" i="9"/>
  <c r="M516" i="9"/>
  <c r="K515" i="9"/>
  <c r="M515" i="9"/>
  <c r="K514" i="9"/>
  <c r="M514" i="9"/>
  <c r="K513" i="9"/>
  <c r="M513" i="9"/>
  <c r="K512" i="9"/>
  <c r="M512" i="9"/>
  <c r="K511" i="9"/>
  <c r="M511" i="9"/>
  <c r="K510" i="9"/>
  <c r="M510" i="9"/>
  <c r="K509" i="9"/>
  <c r="M509" i="9"/>
  <c r="K508" i="9"/>
  <c r="M508" i="9"/>
  <c r="K507" i="9"/>
  <c r="M507" i="9"/>
  <c r="K506" i="9"/>
  <c r="M506" i="9"/>
  <c r="K505" i="9"/>
  <c r="M505" i="9"/>
  <c r="K504" i="9"/>
  <c r="M504" i="9"/>
  <c r="K503" i="9"/>
  <c r="M503" i="9"/>
  <c r="K502" i="9"/>
  <c r="M502" i="9"/>
  <c r="K501" i="9"/>
  <c r="M501" i="9"/>
  <c r="K500" i="9"/>
  <c r="M500" i="9"/>
  <c r="K499" i="9"/>
  <c r="M499" i="9"/>
  <c r="K498" i="9"/>
  <c r="M498" i="9"/>
  <c r="K497" i="9"/>
  <c r="M497" i="9"/>
  <c r="K496" i="9"/>
  <c r="M496" i="9"/>
  <c r="K495" i="9"/>
  <c r="M495" i="9"/>
  <c r="K494" i="9"/>
  <c r="M494" i="9"/>
  <c r="K493" i="9"/>
  <c r="M493" i="9"/>
  <c r="K492" i="9"/>
  <c r="M492" i="9"/>
  <c r="K491" i="9"/>
  <c r="M491" i="9"/>
  <c r="K490" i="9"/>
  <c r="M490" i="9"/>
  <c r="K489" i="9"/>
  <c r="M489" i="9"/>
  <c r="K488" i="9"/>
  <c r="M488" i="9"/>
  <c r="K487" i="9"/>
  <c r="M487" i="9"/>
  <c r="K486" i="9"/>
  <c r="M486" i="9"/>
  <c r="K485" i="9"/>
  <c r="M485" i="9"/>
  <c r="K484" i="9"/>
  <c r="M484" i="9"/>
  <c r="K483" i="9"/>
  <c r="M483" i="9"/>
  <c r="K482" i="9"/>
  <c r="M482" i="9"/>
  <c r="K481" i="9"/>
  <c r="M481" i="9"/>
  <c r="K480" i="9"/>
  <c r="M480" i="9"/>
  <c r="K479" i="9"/>
  <c r="M479" i="9"/>
  <c r="K478" i="9"/>
  <c r="M478" i="9"/>
  <c r="K477" i="9"/>
  <c r="M477" i="9"/>
  <c r="K476" i="9"/>
  <c r="M476" i="9"/>
  <c r="K475" i="9"/>
  <c r="M475" i="9"/>
  <c r="K474" i="9"/>
  <c r="M474" i="9"/>
  <c r="K473" i="9"/>
  <c r="M473" i="9"/>
  <c r="K472" i="9"/>
  <c r="M472" i="9"/>
  <c r="K471" i="9"/>
  <c r="M471" i="9"/>
  <c r="K470" i="9"/>
  <c r="M470" i="9"/>
  <c r="K469" i="9"/>
  <c r="M469" i="9"/>
  <c r="K468" i="9"/>
  <c r="M468" i="9"/>
  <c r="K467" i="9"/>
  <c r="M467" i="9"/>
  <c r="K466" i="9"/>
  <c r="M466" i="9"/>
  <c r="K465" i="9"/>
  <c r="M465" i="9"/>
  <c r="K464" i="9"/>
  <c r="M464" i="9"/>
  <c r="K463" i="9"/>
  <c r="M463" i="9"/>
  <c r="K462" i="9"/>
  <c r="M462" i="9"/>
  <c r="K461" i="9"/>
  <c r="M461" i="9"/>
  <c r="K460" i="9"/>
  <c r="M460" i="9"/>
  <c r="K459" i="9"/>
  <c r="M459" i="9"/>
  <c r="K458" i="9"/>
  <c r="M458" i="9"/>
  <c r="K457" i="9"/>
  <c r="M457" i="9"/>
  <c r="K456" i="9"/>
  <c r="M456" i="9"/>
  <c r="K455" i="9"/>
  <c r="M455" i="9"/>
  <c r="K454" i="9"/>
  <c r="M454" i="9"/>
  <c r="K453" i="9"/>
  <c r="M453" i="9"/>
  <c r="K452" i="9"/>
  <c r="M452" i="9"/>
  <c r="K451" i="9"/>
  <c r="M451" i="9"/>
  <c r="K450" i="9"/>
  <c r="M450" i="9"/>
  <c r="K449" i="9"/>
  <c r="M449" i="9"/>
  <c r="K448" i="9"/>
  <c r="M448" i="9"/>
  <c r="K447" i="9"/>
  <c r="M447" i="9"/>
  <c r="K446" i="9"/>
  <c r="M446" i="9"/>
  <c r="K445" i="9"/>
  <c r="M445" i="9"/>
  <c r="K444" i="9"/>
  <c r="M444" i="9"/>
  <c r="K443" i="9"/>
  <c r="M443" i="9"/>
  <c r="K442" i="9"/>
  <c r="M442" i="9"/>
  <c r="K441" i="9"/>
  <c r="M441" i="9"/>
  <c r="K440" i="9"/>
  <c r="M440" i="9"/>
  <c r="K439" i="9"/>
  <c r="M439" i="9"/>
  <c r="K438" i="9"/>
  <c r="M438" i="9"/>
  <c r="K437" i="9"/>
  <c r="M437" i="9"/>
  <c r="K436" i="9"/>
  <c r="M436" i="9"/>
  <c r="K435" i="9"/>
  <c r="M435" i="9"/>
  <c r="K434" i="9"/>
  <c r="M434" i="9"/>
  <c r="K433" i="9"/>
  <c r="M433" i="9"/>
  <c r="K432" i="9"/>
  <c r="M432" i="9"/>
  <c r="K431" i="9"/>
  <c r="M431" i="9"/>
  <c r="K430" i="9"/>
  <c r="M430" i="9"/>
  <c r="K429" i="9"/>
  <c r="M429" i="9"/>
  <c r="K428" i="9"/>
  <c r="M428" i="9"/>
  <c r="K427" i="9"/>
  <c r="M427" i="9"/>
  <c r="K426" i="9"/>
  <c r="M426" i="9"/>
  <c r="K425" i="9"/>
  <c r="M425" i="9"/>
  <c r="K424" i="9"/>
  <c r="M424" i="9"/>
  <c r="K423" i="9"/>
  <c r="M423" i="9"/>
  <c r="K422" i="9"/>
  <c r="M422" i="9"/>
  <c r="K421" i="9"/>
  <c r="M421" i="9"/>
  <c r="K420" i="9"/>
  <c r="M420" i="9"/>
  <c r="K419" i="9"/>
  <c r="M419" i="9"/>
  <c r="K418" i="9"/>
  <c r="M418" i="9"/>
  <c r="K417" i="9"/>
  <c r="M417" i="9"/>
  <c r="K416" i="9"/>
  <c r="M416" i="9"/>
  <c r="K415" i="9"/>
  <c r="M415" i="9"/>
  <c r="K414" i="9"/>
  <c r="M414" i="9"/>
  <c r="K413" i="9"/>
  <c r="M413" i="9"/>
  <c r="K412" i="9"/>
  <c r="M412" i="9"/>
  <c r="K411" i="9"/>
  <c r="M411" i="9"/>
  <c r="K410" i="9"/>
  <c r="M410" i="9"/>
  <c r="K409" i="9"/>
  <c r="M409" i="9"/>
  <c r="K408" i="9"/>
  <c r="M408" i="9"/>
  <c r="K407" i="9"/>
  <c r="M407" i="9"/>
  <c r="K406" i="9"/>
  <c r="M406" i="9"/>
  <c r="K405" i="9"/>
  <c r="M405" i="9"/>
  <c r="K404" i="9"/>
  <c r="M404" i="9"/>
  <c r="K403" i="9"/>
  <c r="M403" i="9"/>
  <c r="K402" i="9"/>
  <c r="M402" i="9"/>
  <c r="K401" i="9"/>
  <c r="M401" i="9"/>
  <c r="K400" i="9"/>
  <c r="M400" i="9"/>
  <c r="K399" i="9"/>
  <c r="M399" i="9"/>
  <c r="K398" i="9"/>
  <c r="M398" i="9"/>
  <c r="K397" i="9"/>
  <c r="M397" i="9"/>
  <c r="K396" i="9"/>
  <c r="M396" i="9"/>
  <c r="K395" i="9"/>
  <c r="M395" i="9"/>
  <c r="K394" i="9"/>
  <c r="M394" i="9"/>
  <c r="K393" i="9"/>
  <c r="M393" i="9"/>
  <c r="K392" i="9"/>
  <c r="M392" i="9"/>
  <c r="K391" i="9"/>
  <c r="M391" i="9"/>
  <c r="K390" i="9"/>
  <c r="M390" i="9"/>
  <c r="K389" i="9"/>
  <c r="M389" i="9"/>
  <c r="K388" i="9"/>
  <c r="M388" i="9"/>
  <c r="K387" i="9"/>
  <c r="M387" i="9"/>
  <c r="K386" i="9"/>
  <c r="M386" i="9"/>
  <c r="K385" i="9"/>
  <c r="M385" i="9"/>
  <c r="K384" i="9"/>
  <c r="M384" i="9"/>
  <c r="K383" i="9"/>
  <c r="M383" i="9"/>
  <c r="K382" i="9"/>
  <c r="M382" i="9"/>
  <c r="K381" i="9"/>
  <c r="M381" i="9"/>
  <c r="K380" i="9"/>
  <c r="M380" i="9"/>
  <c r="K379" i="9"/>
  <c r="M379" i="9"/>
  <c r="K378" i="9"/>
  <c r="M378" i="9"/>
  <c r="K377" i="9"/>
  <c r="M377" i="9"/>
  <c r="K376" i="9"/>
  <c r="M376" i="9"/>
  <c r="K375" i="9"/>
  <c r="M375" i="9"/>
  <c r="K374" i="9"/>
  <c r="M374" i="9"/>
  <c r="K373" i="9"/>
  <c r="M373" i="9"/>
  <c r="K372" i="9"/>
  <c r="M372" i="9"/>
  <c r="K371" i="9"/>
  <c r="M371" i="9"/>
  <c r="K370" i="9"/>
  <c r="M370" i="9"/>
  <c r="K369" i="9"/>
  <c r="M369" i="9"/>
  <c r="K368" i="9"/>
  <c r="M368" i="9"/>
  <c r="K367" i="9"/>
  <c r="M367" i="9"/>
  <c r="K366" i="9"/>
  <c r="M366" i="9"/>
  <c r="K365" i="9"/>
  <c r="M365" i="9"/>
  <c r="K364" i="9"/>
  <c r="M364" i="9"/>
  <c r="K363" i="9"/>
  <c r="M363" i="9"/>
  <c r="K362" i="9"/>
  <c r="M362" i="9"/>
  <c r="K361" i="9"/>
  <c r="M361" i="9"/>
  <c r="K360" i="9"/>
  <c r="M360" i="9"/>
  <c r="K359" i="9"/>
  <c r="M359" i="9"/>
  <c r="K358" i="9"/>
  <c r="M358" i="9"/>
  <c r="K357" i="9"/>
  <c r="M357" i="9"/>
  <c r="K356" i="9"/>
  <c r="M356" i="9"/>
  <c r="K355" i="9"/>
  <c r="M355" i="9"/>
  <c r="K354" i="9"/>
  <c r="M354" i="9"/>
  <c r="K353" i="9"/>
  <c r="M353" i="9"/>
  <c r="K352" i="9"/>
  <c r="M352" i="9"/>
  <c r="K351" i="9"/>
  <c r="M351" i="9"/>
  <c r="K350" i="9"/>
  <c r="M350" i="9"/>
  <c r="K349" i="9"/>
  <c r="M349" i="9"/>
  <c r="K348" i="9"/>
  <c r="M348" i="9"/>
  <c r="K347" i="9"/>
  <c r="M347" i="9"/>
  <c r="K346" i="9"/>
  <c r="M346" i="9"/>
  <c r="K345" i="9"/>
  <c r="M345" i="9"/>
  <c r="K344" i="9"/>
  <c r="M344" i="9"/>
  <c r="K343" i="9"/>
  <c r="M343" i="9"/>
  <c r="K342" i="9"/>
  <c r="M342" i="9"/>
  <c r="K341" i="9"/>
  <c r="M341" i="9"/>
  <c r="K340" i="9"/>
  <c r="M340" i="9"/>
  <c r="K339" i="9"/>
  <c r="M339" i="9"/>
  <c r="K338" i="9"/>
  <c r="M338" i="9"/>
  <c r="K337" i="9"/>
  <c r="M337" i="9"/>
  <c r="K336" i="9"/>
  <c r="M336" i="9"/>
  <c r="K335" i="9"/>
  <c r="M335" i="9"/>
  <c r="K334" i="9"/>
  <c r="M334" i="9"/>
  <c r="K333" i="9"/>
  <c r="M333" i="9"/>
  <c r="K332" i="9"/>
  <c r="M332" i="9"/>
  <c r="K331" i="9"/>
  <c r="M331" i="9"/>
  <c r="K330" i="9"/>
  <c r="M330" i="9"/>
  <c r="K329" i="9"/>
  <c r="M329" i="9"/>
  <c r="K328" i="9"/>
  <c r="M328" i="9"/>
  <c r="K327" i="9"/>
  <c r="M327" i="9"/>
  <c r="K326" i="9"/>
  <c r="M326" i="9"/>
  <c r="K325" i="9"/>
  <c r="M325" i="9"/>
  <c r="K324" i="9"/>
  <c r="M324" i="9"/>
  <c r="K323" i="9"/>
  <c r="M323" i="9"/>
  <c r="K322" i="9"/>
  <c r="M322" i="9"/>
  <c r="K321" i="9"/>
  <c r="M321" i="9"/>
  <c r="K320" i="9"/>
  <c r="M320" i="9"/>
  <c r="K319" i="9"/>
  <c r="M319" i="9"/>
  <c r="K318" i="9"/>
  <c r="M318" i="9"/>
  <c r="K317" i="9"/>
  <c r="M317" i="9"/>
  <c r="K316" i="9"/>
  <c r="M316" i="9"/>
  <c r="K315" i="9"/>
  <c r="M315" i="9"/>
  <c r="K314" i="9"/>
  <c r="M314" i="9"/>
  <c r="K313" i="9"/>
  <c r="M313" i="9"/>
  <c r="K312" i="9"/>
  <c r="M312" i="9"/>
  <c r="K311" i="9"/>
  <c r="M311" i="9"/>
  <c r="K310" i="9"/>
  <c r="M310" i="9"/>
  <c r="K309" i="9"/>
  <c r="M309" i="9"/>
  <c r="K308" i="9"/>
  <c r="M308" i="9"/>
  <c r="K307" i="9"/>
  <c r="M307" i="9"/>
  <c r="K306" i="9"/>
  <c r="M306" i="9"/>
  <c r="K305" i="9"/>
  <c r="M305" i="9"/>
  <c r="K304" i="9"/>
  <c r="M304" i="9"/>
  <c r="K303" i="9"/>
  <c r="M303" i="9"/>
  <c r="K302" i="9"/>
  <c r="M302" i="9"/>
  <c r="K301" i="9"/>
  <c r="M301" i="9"/>
  <c r="K300" i="9"/>
  <c r="M300" i="9"/>
  <c r="K299" i="9"/>
  <c r="M299" i="9"/>
  <c r="K298" i="9"/>
  <c r="M298" i="9"/>
  <c r="K297" i="9"/>
  <c r="M297" i="9"/>
  <c r="K296" i="9"/>
  <c r="M296" i="9"/>
  <c r="K295" i="9"/>
  <c r="M295" i="9"/>
  <c r="K294" i="9"/>
  <c r="M294" i="9"/>
  <c r="K293" i="9"/>
  <c r="M293" i="9"/>
  <c r="K292" i="9"/>
  <c r="M292" i="9"/>
  <c r="K291" i="9"/>
  <c r="M291" i="9"/>
  <c r="K290" i="9"/>
  <c r="M290" i="9"/>
  <c r="K289" i="9"/>
  <c r="M289" i="9"/>
  <c r="K288" i="9"/>
  <c r="M288" i="9"/>
  <c r="K287" i="9"/>
  <c r="M287" i="9"/>
  <c r="K286" i="9"/>
  <c r="M286" i="9"/>
  <c r="K285" i="9"/>
  <c r="M285" i="9"/>
  <c r="K284" i="9"/>
  <c r="M284" i="9"/>
  <c r="K283" i="9"/>
  <c r="M283" i="9"/>
  <c r="K282" i="9"/>
  <c r="M282" i="9"/>
  <c r="K281" i="9"/>
  <c r="M281" i="9"/>
  <c r="K280" i="9"/>
  <c r="M280" i="9"/>
  <c r="K279" i="9"/>
  <c r="M279" i="9"/>
  <c r="K278" i="9"/>
  <c r="M278" i="9"/>
  <c r="K277" i="9"/>
  <c r="M277" i="9"/>
  <c r="K276" i="9"/>
  <c r="M276" i="9"/>
  <c r="K275" i="9"/>
  <c r="M275" i="9"/>
  <c r="K274" i="9"/>
  <c r="M274" i="9"/>
  <c r="K273" i="9"/>
  <c r="M273" i="9"/>
  <c r="K272" i="9"/>
  <c r="M272" i="9"/>
  <c r="K271" i="9"/>
  <c r="M271" i="9"/>
  <c r="K270" i="9"/>
  <c r="M270" i="9"/>
  <c r="K269" i="9"/>
  <c r="M269" i="9"/>
  <c r="K268" i="9"/>
  <c r="M268" i="9"/>
  <c r="K267" i="9"/>
  <c r="M267" i="9"/>
  <c r="K266" i="9"/>
  <c r="M266" i="9"/>
  <c r="K265" i="9"/>
  <c r="M265" i="9"/>
  <c r="K264" i="9"/>
  <c r="M264" i="9"/>
  <c r="K263" i="9"/>
  <c r="M263" i="9"/>
  <c r="K262" i="9"/>
  <c r="M262" i="9"/>
  <c r="K261" i="9"/>
  <c r="M261" i="9"/>
  <c r="K260" i="9"/>
  <c r="M260" i="9"/>
  <c r="K259" i="9"/>
  <c r="M259" i="9"/>
  <c r="K258" i="9"/>
  <c r="M258" i="9"/>
  <c r="K257" i="9"/>
  <c r="M257" i="9"/>
  <c r="K256" i="9"/>
  <c r="M256" i="9"/>
  <c r="K255" i="9"/>
  <c r="M255" i="9"/>
  <c r="K254" i="9"/>
  <c r="M254" i="9"/>
  <c r="K253" i="9"/>
  <c r="M253" i="9"/>
  <c r="K252" i="9"/>
  <c r="M252" i="9"/>
  <c r="K251" i="9"/>
  <c r="M251" i="9"/>
  <c r="K250" i="9"/>
  <c r="M250" i="9"/>
  <c r="K249" i="9"/>
  <c r="M249" i="9"/>
  <c r="K248" i="9"/>
  <c r="M248" i="9"/>
  <c r="K247" i="9"/>
  <c r="M247" i="9"/>
  <c r="K246" i="9"/>
  <c r="M246" i="9"/>
  <c r="K245" i="9"/>
  <c r="M245" i="9"/>
  <c r="K244" i="9"/>
  <c r="M244" i="9"/>
  <c r="K243" i="9"/>
  <c r="M243" i="9"/>
  <c r="K242" i="9"/>
  <c r="M242" i="9"/>
  <c r="K241" i="9"/>
  <c r="M241" i="9"/>
  <c r="K240" i="9"/>
  <c r="M240" i="9"/>
  <c r="K239" i="9"/>
  <c r="M239" i="9"/>
  <c r="K238" i="9"/>
  <c r="M238" i="9"/>
  <c r="K237" i="9"/>
  <c r="M237" i="9"/>
  <c r="K236" i="9"/>
  <c r="M236" i="9"/>
  <c r="K235" i="9"/>
  <c r="M235" i="9"/>
  <c r="K234" i="9"/>
  <c r="M234" i="9"/>
  <c r="K233" i="9"/>
  <c r="M233" i="9"/>
  <c r="K232" i="9"/>
  <c r="M232" i="9"/>
  <c r="K231" i="9"/>
  <c r="M231" i="9"/>
  <c r="K230" i="9"/>
  <c r="M230" i="9"/>
  <c r="K229" i="9"/>
  <c r="M229" i="9"/>
  <c r="K228" i="9"/>
  <c r="M228" i="9"/>
  <c r="K227" i="9"/>
  <c r="M227" i="9"/>
  <c r="K226" i="9"/>
  <c r="M226" i="9"/>
  <c r="K225" i="9"/>
  <c r="M225" i="9"/>
  <c r="K224" i="9"/>
  <c r="M224" i="9"/>
  <c r="K223" i="9"/>
  <c r="M223" i="9"/>
  <c r="K222" i="9"/>
  <c r="M222" i="9"/>
  <c r="K221" i="9"/>
  <c r="M221" i="9"/>
  <c r="K220" i="9"/>
  <c r="M220" i="9"/>
  <c r="K219" i="9"/>
  <c r="M219" i="9"/>
  <c r="K218" i="9"/>
  <c r="M218" i="9"/>
  <c r="K217" i="9"/>
  <c r="M217" i="9"/>
  <c r="K216" i="9"/>
  <c r="M216" i="9"/>
  <c r="K215" i="9"/>
  <c r="M215" i="9"/>
  <c r="K214" i="9"/>
  <c r="M214" i="9"/>
  <c r="K213" i="9"/>
  <c r="M213" i="9"/>
  <c r="K212" i="9"/>
  <c r="M212" i="9"/>
  <c r="K211" i="9"/>
  <c r="M211" i="9"/>
  <c r="K210" i="9"/>
  <c r="M210" i="9"/>
  <c r="K209" i="9"/>
  <c r="M209" i="9"/>
  <c r="K208" i="9"/>
  <c r="M208" i="9"/>
  <c r="K207" i="9"/>
  <c r="M207" i="9"/>
  <c r="K206" i="9"/>
  <c r="M206" i="9"/>
  <c r="K205" i="9"/>
  <c r="M205" i="9"/>
  <c r="K204" i="9"/>
  <c r="M204" i="9"/>
  <c r="K203" i="9"/>
  <c r="M203" i="9"/>
  <c r="K202" i="9"/>
  <c r="M202" i="9"/>
  <c r="K201" i="9"/>
  <c r="M201" i="9"/>
  <c r="K200" i="9"/>
  <c r="M200" i="9"/>
  <c r="K199" i="9"/>
  <c r="M199" i="9"/>
  <c r="K198" i="9"/>
  <c r="M198" i="9"/>
  <c r="K197" i="9"/>
  <c r="M197" i="9"/>
  <c r="K196" i="9"/>
  <c r="M196" i="9"/>
  <c r="K195" i="9"/>
  <c r="M195" i="9"/>
  <c r="K194" i="9"/>
  <c r="M194" i="9"/>
  <c r="K193" i="9"/>
  <c r="M193" i="9"/>
  <c r="K192" i="9"/>
  <c r="M192" i="9"/>
  <c r="K191" i="9"/>
  <c r="M191" i="9"/>
  <c r="K190" i="9"/>
  <c r="M190" i="9"/>
  <c r="K189" i="9"/>
  <c r="M189" i="9"/>
  <c r="K188" i="9"/>
  <c r="M188" i="9"/>
  <c r="K187" i="9"/>
  <c r="M187" i="9"/>
  <c r="K186" i="9"/>
  <c r="M186" i="9"/>
  <c r="K185" i="9"/>
  <c r="M185" i="9"/>
  <c r="K184" i="9"/>
  <c r="M184" i="9"/>
  <c r="K183" i="9"/>
  <c r="M183" i="9"/>
  <c r="K182" i="9"/>
  <c r="M182" i="9"/>
  <c r="K181" i="9"/>
  <c r="M181" i="9"/>
  <c r="K180" i="9"/>
  <c r="M180" i="9"/>
  <c r="K179" i="9"/>
  <c r="M179" i="9"/>
  <c r="K178" i="9"/>
  <c r="M178" i="9"/>
  <c r="K177" i="9"/>
  <c r="M177" i="9"/>
  <c r="K176" i="9"/>
  <c r="M176" i="9"/>
  <c r="K175" i="9"/>
  <c r="M175" i="9"/>
  <c r="K174" i="9"/>
  <c r="M174" i="9"/>
  <c r="K173" i="9"/>
  <c r="M173" i="9"/>
  <c r="K172" i="9"/>
  <c r="M172" i="9"/>
  <c r="K171" i="9"/>
  <c r="M171" i="9"/>
  <c r="K170" i="9"/>
  <c r="M170" i="9"/>
  <c r="K169" i="9"/>
  <c r="M169" i="9"/>
  <c r="K168" i="9"/>
  <c r="M168" i="9"/>
  <c r="K167" i="9"/>
  <c r="M167" i="9"/>
  <c r="K166" i="9"/>
  <c r="M166" i="9"/>
  <c r="K165" i="9"/>
  <c r="M165" i="9"/>
  <c r="K164" i="9"/>
  <c r="M164" i="9"/>
  <c r="K163" i="9"/>
  <c r="M163" i="9"/>
  <c r="K162" i="9"/>
  <c r="M162" i="9"/>
  <c r="K161" i="9"/>
  <c r="M161" i="9"/>
  <c r="K160" i="9"/>
  <c r="M160" i="9"/>
  <c r="K159" i="9"/>
  <c r="M159" i="9"/>
  <c r="K158" i="9"/>
  <c r="M158" i="9"/>
  <c r="K157" i="9"/>
  <c r="M157" i="9"/>
  <c r="K156" i="9"/>
  <c r="M156" i="9"/>
  <c r="K155" i="9"/>
  <c r="M155" i="9"/>
  <c r="K154" i="9"/>
  <c r="M154" i="9"/>
  <c r="K153" i="9"/>
  <c r="M153" i="9"/>
  <c r="K152" i="9"/>
  <c r="M152" i="9"/>
  <c r="K151" i="9"/>
  <c r="M151" i="9"/>
  <c r="K150" i="9"/>
  <c r="M150" i="9"/>
  <c r="K149" i="9"/>
  <c r="M149" i="9"/>
  <c r="K148" i="9"/>
  <c r="M148" i="9"/>
  <c r="K147" i="9"/>
  <c r="M147" i="9"/>
  <c r="K146" i="9"/>
  <c r="M146" i="9"/>
  <c r="K145" i="9"/>
  <c r="M145" i="9"/>
  <c r="K144" i="9"/>
  <c r="M144" i="9"/>
  <c r="K143" i="9"/>
  <c r="M143" i="9"/>
  <c r="K142" i="9"/>
  <c r="M142" i="9"/>
  <c r="K141" i="9"/>
  <c r="M141" i="9"/>
  <c r="K140" i="9"/>
  <c r="M140" i="9"/>
  <c r="K139" i="9"/>
  <c r="M139" i="9"/>
  <c r="K138" i="9"/>
  <c r="M138" i="9"/>
  <c r="K137" i="9"/>
  <c r="M137" i="9"/>
  <c r="K136" i="9"/>
  <c r="M136" i="9"/>
  <c r="K135" i="9"/>
  <c r="M135" i="9"/>
  <c r="K134" i="9"/>
  <c r="M134" i="9"/>
  <c r="K133" i="9"/>
  <c r="M133" i="9"/>
  <c r="K132" i="9"/>
  <c r="M132" i="9"/>
  <c r="K131" i="9"/>
  <c r="M131" i="9"/>
  <c r="K130" i="9"/>
  <c r="M130" i="9"/>
  <c r="K129" i="9"/>
  <c r="M129" i="9"/>
  <c r="K128" i="9"/>
  <c r="M128" i="9"/>
  <c r="K127" i="9"/>
  <c r="M127" i="9"/>
  <c r="K126" i="9"/>
  <c r="M126" i="9"/>
  <c r="K125" i="9"/>
  <c r="M125" i="9"/>
  <c r="K124" i="9"/>
  <c r="M124" i="9"/>
  <c r="K123" i="9"/>
  <c r="M123" i="9"/>
  <c r="K122" i="9"/>
  <c r="M122" i="9"/>
  <c r="K121" i="9"/>
  <c r="M121" i="9"/>
  <c r="K120" i="9"/>
  <c r="M120" i="9"/>
  <c r="K119" i="9"/>
  <c r="M119" i="9"/>
  <c r="K118" i="9"/>
  <c r="M118" i="9"/>
  <c r="K117" i="9"/>
  <c r="M117" i="9"/>
  <c r="K116" i="9"/>
  <c r="M116" i="9"/>
  <c r="K115" i="9"/>
  <c r="M115" i="9"/>
  <c r="K114" i="9"/>
  <c r="M114" i="9"/>
  <c r="K113" i="9"/>
  <c r="M113" i="9"/>
  <c r="K112" i="9"/>
  <c r="M112" i="9"/>
  <c r="K111" i="9"/>
  <c r="M111" i="9"/>
  <c r="K110" i="9"/>
  <c r="M110" i="9"/>
  <c r="K109" i="9"/>
  <c r="M109" i="9"/>
  <c r="K108" i="9"/>
  <c r="M108" i="9"/>
  <c r="K107" i="9"/>
  <c r="M107" i="9"/>
  <c r="K106" i="9"/>
  <c r="M106" i="9"/>
  <c r="K105" i="9"/>
  <c r="M105" i="9"/>
  <c r="K104" i="9"/>
  <c r="M104" i="9"/>
  <c r="K103" i="9"/>
  <c r="M103" i="9"/>
  <c r="K102" i="9"/>
  <c r="M102" i="9"/>
  <c r="K101" i="9"/>
  <c r="M101" i="9"/>
  <c r="K100" i="9"/>
  <c r="M100" i="9"/>
  <c r="K99" i="9"/>
  <c r="M99" i="9"/>
  <c r="K98" i="9"/>
  <c r="M98" i="9"/>
  <c r="K97" i="9"/>
  <c r="M97" i="9"/>
  <c r="K96" i="9"/>
  <c r="M96" i="9"/>
  <c r="K95" i="9"/>
  <c r="M95" i="9"/>
  <c r="K94" i="9"/>
  <c r="M94" i="9"/>
  <c r="K93" i="9"/>
  <c r="M93" i="9"/>
  <c r="K92" i="9"/>
  <c r="M92" i="9"/>
  <c r="K91" i="9"/>
  <c r="M91" i="9"/>
  <c r="K90" i="9"/>
  <c r="M90" i="9"/>
  <c r="K89" i="9"/>
  <c r="M89" i="9"/>
  <c r="K88" i="9"/>
  <c r="M88" i="9"/>
  <c r="K87" i="9"/>
  <c r="M87" i="9"/>
  <c r="K86" i="9"/>
  <c r="M86" i="9"/>
  <c r="K85" i="9"/>
  <c r="M85" i="9"/>
  <c r="K84" i="9"/>
  <c r="M84" i="9"/>
  <c r="K83" i="9"/>
  <c r="M83" i="9"/>
  <c r="K82" i="9"/>
  <c r="M82" i="9"/>
  <c r="K81" i="9"/>
  <c r="M81" i="9"/>
  <c r="K80" i="9"/>
  <c r="M80" i="9"/>
  <c r="K79" i="9"/>
  <c r="M79" i="9"/>
  <c r="K78" i="9"/>
  <c r="M78" i="9"/>
  <c r="K77" i="9"/>
  <c r="M77" i="9"/>
  <c r="K76" i="9"/>
  <c r="M76" i="9"/>
  <c r="K75" i="9"/>
  <c r="M75" i="9"/>
  <c r="K74" i="9"/>
  <c r="M74" i="9"/>
  <c r="K73" i="9"/>
  <c r="M73" i="9"/>
  <c r="K72" i="9"/>
  <c r="M72" i="9"/>
  <c r="K71" i="9"/>
  <c r="M71" i="9"/>
  <c r="K70" i="9"/>
  <c r="M70" i="9"/>
  <c r="K69" i="9"/>
  <c r="M69" i="9"/>
  <c r="K68" i="9"/>
  <c r="M68" i="9"/>
  <c r="K38" i="9"/>
  <c r="M38" i="9"/>
  <c r="K67" i="9"/>
  <c r="M67" i="9"/>
  <c r="K65" i="9"/>
  <c r="M65" i="9"/>
  <c r="K59" i="9"/>
  <c r="M59" i="9"/>
  <c r="C7" i="10"/>
  <c r="C3" i="10"/>
  <c r="K3" i="9"/>
  <c r="M3" i="9"/>
  <c r="K17" i="9"/>
  <c r="M17" i="9"/>
  <c r="K25" i="9"/>
  <c r="M25" i="9"/>
  <c r="K16" i="9"/>
  <c r="M16" i="9"/>
  <c r="K56" i="9"/>
  <c r="M56" i="9"/>
  <c r="K50" i="9"/>
  <c r="M50" i="9"/>
  <c r="K61" i="9"/>
  <c r="M61" i="9"/>
  <c r="K63" i="9"/>
  <c r="M63" i="9"/>
  <c r="K8" i="9"/>
  <c r="M8" i="9"/>
  <c r="K23" i="9"/>
  <c r="M23" i="9"/>
  <c r="K24" i="9"/>
  <c r="M24" i="9"/>
  <c r="K48" i="9"/>
  <c r="M48" i="9"/>
  <c r="K55" i="9"/>
  <c r="M55" i="9"/>
  <c r="K60" i="9"/>
  <c r="M60" i="9"/>
  <c r="K64" i="9"/>
  <c r="M64" i="9"/>
  <c r="K6" i="9"/>
  <c r="M6" i="9"/>
  <c r="K54" i="9"/>
  <c r="M54" i="9"/>
  <c r="K9" i="9"/>
  <c r="M9" i="9"/>
  <c r="K28" i="9"/>
  <c r="M28" i="9"/>
  <c r="K18" i="9"/>
  <c r="M18" i="9"/>
  <c r="K36" i="9"/>
  <c r="M36" i="9"/>
  <c r="K26" i="9"/>
  <c r="M26" i="9"/>
  <c r="K39" i="9"/>
  <c r="M39" i="9"/>
  <c r="K33" i="9"/>
  <c r="M33" i="9"/>
  <c r="K13" i="9"/>
  <c r="M13" i="9"/>
  <c r="K20" i="9"/>
  <c r="M20" i="9"/>
  <c r="K40" i="9"/>
  <c r="M40" i="9"/>
  <c r="K22" i="9"/>
  <c r="M22" i="9"/>
  <c r="K19" i="9"/>
  <c r="M19" i="9"/>
  <c r="K29" i="9"/>
  <c r="M29" i="9"/>
  <c r="K58" i="9"/>
  <c r="M58" i="9"/>
  <c r="K62" i="9"/>
  <c r="M62" i="9"/>
  <c r="K66" i="9"/>
  <c r="M66" i="9"/>
  <c r="K51" i="9"/>
  <c r="M51" i="9"/>
  <c r="M46" i="9"/>
  <c r="K10" i="9"/>
  <c r="M10" i="9"/>
  <c r="K15" i="9"/>
  <c r="M15" i="9"/>
  <c r="K12" i="9"/>
  <c r="M12" i="9"/>
  <c r="K45" i="9"/>
  <c r="M45" i="9"/>
  <c r="K21" i="9"/>
  <c r="M21" i="9"/>
  <c r="K52" i="9"/>
  <c r="M52" i="9"/>
  <c r="K37" i="9"/>
  <c r="M37" i="9"/>
  <c r="K47" i="9"/>
  <c r="M47" i="9"/>
  <c r="K27" i="9"/>
  <c r="M27" i="9"/>
  <c r="K35" i="9"/>
  <c r="M35" i="9"/>
  <c r="K32" i="9"/>
  <c r="M32" i="9"/>
  <c r="K4" i="9"/>
  <c r="M4" i="9"/>
  <c r="K2" i="9"/>
  <c r="M2" i="9"/>
  <c r="K5" i="9"/>
  <c r="M5" i="9"/>
  <c r="K34" i="9"/>
  <c r="M34" i="9"/>
</calcChain>
</file>

<file path=xl/sharedStrings.xml><?xml version="1.0" encoding="utf-8"?>
<sst xmlns="http://schemas.openxmlformats.org/spreadsheetml/2006/main" count="3197" uniqueCount="571">
  <si>
    <t>VERSION</t>
  </si>
  <si>
    <t>DATE</t>
  </si>
  <si>
    <t>MODIFIÉ PAR</t>
  </si>
  <si>
    <t>Robert S.</t>
  </si>
  <si>
    <t>JOURNÉE</t>
  </si>
  <si>
    <t># PERSONNES</t>
  </si>
  <si>
    <t>ID RECHERCHE</t>
  </si>
  <si>
    <t>CATÉGORIE</t>
  </si>
  <si>
    <t>PLAT</t>
  </si>
  <si>
    <t>INGRÉDIENT</t>
  </si>
  <si>
    <t>SECTION</t>
  </si>
  <si>
    <t>PORTION 1</t>
  </si>
  <si>
    <t>MESURE</t>
  </si>
  <si>
    <t>Yogurt grec</t>
  </si>
  <si>
    <t>Produits laitiers</t>
  </si>
  <si>
    <t>ml</t>
  </si>
  <si>
    <t>Collation</t>
  </si>
  <si>
    <t>Yogurt</t>
  </si>
  <si>
    <t>Unité</t>
  </si>
  <si>
    <t>Produits céréaliers</t>
  </si>
  <si>
    <t>Dinde</t>
  </si>
  <si>
    <t>Viandes</t>
  </si>
  <si>
    <t>gr</t>
  </si>
  <si>
    <t>Mayo</t>
  </si>
  <si>
    <t>Varia</t>
  </si>
  <si>
    <t>Laitues romaines</t>
  </si>
  <si>
    <t>Fruits et légumes</t>
  </si>
  <si>
    <t>tranches</t>
  </si>
  <si>
    <t>Tomates</t>
  </si>
  <si>
    <t>Tzatziki - Concombre, Ail</t>
  </si>
  <si>
    <t>Concombres anglais</t>
  </si>
  <si>
    <t>Ail</t>
  </si>
  <si>
    <t>gousse</t>
  </si>
  <si>
    <t>Menthe</t>
  </si>
  <si>
    <t>Jus de citron</t>
  </si>
  <si>
    <t>Légumes</t>
  </si>
  <si>
    <t>Trempette</t>
  </si>
  <si>
    <t>Tostitos Spoons</t>
  </si>
  <si>
    <t>Toasts</t>
  </si>
  <si>
    <t>Peanut butter</t>
  </si>
  <si>
    <t>Nutella</t>
  </si>
  <si>
    <t>1. Déjeuner</t>
  </si>
  <si>
    <t>Pot</t>
  </si>
  <si>
    <t>Spaghetti bolognaise</t>
  </si>
  <si>
    <t>Spaghetti</t>
  </si>
  <si>
    <t>Viande haché</t>
  </si>
  <si>
    <t>Sauce tomate</t>
  </si>
  <si>
    <t>Soupe Lipton</t>
  </si>
  <si>
    <t>l</t>
  </si>
  <si>
    <t>3. Souper</t>
  </si>
  <si>
    <t>Soupe de courge</t>
  </si>
  <si>
    <t>Courges Butternut</t>
  </si>
  <si>
    <t>Boullion de poulet</t>
  </si>
  <si>
    <t>Oignons</t>
  </si>
  <si>
    <t>Épices</t>
  </si>
  <si>
    <t>Soupe à l'ognion</t>
  </si>
  <si>
    <t>Soupe</t>
  </si>
  <si>
    <t>Soupe lipton</t>
  </si>
  <si>
    <t>Smores</t>
  </si>
  <si>
    <t>Biscuits célébration</t>
  </si>
  <si>
    <t>Guimauves (grosses)</t>
  </si>
  <si>
    <t>S'Moores</t>
  </si>
  <si>
    <t>Biscuits Célébration</t>
  </si>
  <si>
    <t>Guimauves</t>
  </si>
  <si>
    <t>Sides</t>
  </si>
  <si>
    <t>Bâtonnets de fromage</t>
  </si>
  <si>
    <t>Saucisses déjeuner</t>
  </si>
  <si>
    <t>2. Diner</t>
  </si>
  <si>
    <t>Sandwich Wrap</t>
  </si>
  <si>
    <t>Tortillas</t>
  </si>
  <si>
    <t>Tranches</t>
  </si>
  <si>
    <t>Laitue iceberg</t>
  </si>
  <si>
    <t>feuilles</t>
  </si>
  <si>
    <t>Salade grecque</t>
  </si>
  <si>
    <t>Fromage Feta</t>
  </si>
  <si>
    <t>Oignon rouge</t>
  </si>
  <si>
    <t>Huile d'olive</t>
  </si>
  <si>
    <t>Origan séché</t>
  </si>
  <si>
    <t>Salade de pâtes</t>
  </si>
  <si>
    <t>Farfalle</t>
  </si>
  <si>
    <t>g</t>
  </si>
  <si>
    <t>Mayonnaise</t>
  </si>
  <si>
    <t>Poivron rouge</t>
  </si>
  <si>
    <t>unité</t>
  </si>
  <si>
    <t>Poivron jaune</t>
  </si>
  <si>
    <t>Concombre anglais</t>
  </si>
  <si>
    <t>Échalote</t>
  </si>
  <si>
    <t>Salade César</t>
  </si>
  <si>
    <t>Laitues iceberg</t>
  </si>
  <si>
    <t>Croutons</t>
  </si>
  <si>
    <t>Vignaigrette César</t>
  </si>
  <si>
    <t>Salade</t>
  </si>
  <si>
    <t>Vignaigrette</t>
  </si>
  <si>
    <t>Rice Krispies</t>
  </si>
  <si>
    <t>Poutine Hot-Dog</t>
  </si>
  <si>
    <t>Frites</t>
  </si>
  <si>
    <t>Sauce poutine</t>
  </si>
  <si>
    <t>Fromage poutine</t>
  </si>
  <si>
    <t>Hotdogs</t>
  </si>
  <si>
    <t>Fruits</t>
  </si>
  <si>
    <t>Pomme</t>
  </si>
  <si>
    <t>Pogo</t>
  </si>
  <si>
    <t>Ketchup</t>
  </si>
  <si>
    <t>Moutarde</t>
  </si>
  <si>
    <t>Pizza froide</t>
  </si>
  <si>
    <t>Pizza</t>
  </si>
  <si>
    <t>Pâte à pizza</t>
  </si>
  <si>
    <t>Pâte de tomates</t>
  </si>
  <si>
    <t>Olives noires tranché</t>
  </si>
  <si>
    <t>conserves</t>
  </si>
  <si>
    <t>Poivrons</t>
  </si>
  <si>
    <t>Champignons</t>
  </si>
  <si>
    <t>Pepperoni</t>
  </si>
  <si>
    <t>Fromage mozarella râpé</t>
  </si>
  <si>
    <t>Pâtes boulettes</t>
  </si>
  <si>
    <t>Kafta</t>
  </si>
  <si>
    <t>Parfait Yogurt et Fruits</t>
  </si>
  <si>
    <t>Yogurt Grec Vanille</t>
  </si>
  <si>
    <t>Muslix</t>
  </si>
  <si>
    <t>Bleuets</t>
  </si>
  <si>
    <t>Framboises</t>
  </si>
  <si>
    <t>Miel</t>
  </si>
  <si>
    <t>Orange</t>
  </si>
  <si>
    <t>Omelette</t>
  </si>
  <si>
    <t>Œufs</t>
  </si>
  <si>
    <t xml:space="preserve">Fromage </t>
  </si>
  <si>
    <t>Jambon</t>
  </si>
  <si>
    <t>Œufs brouillés</t>
  </si>
  <si>
    <t>Œufs bouillis</t>
  </si>
  <si>
    <t>Œuf bouilli</t>
  </si>
  <si>
    <t>Nachos</t>
  </si>
  <si>
    <t>Tostitos</t>
  </si>
  <si>
    <t>Sacs au total</t>
  </si>
  <si>
    <t>Olives tranchés</t>
  </si>
  <si>
    <t>canettes</t>
  </si>
  <si>
    <t>Bacon émiété</t>
  </si>
  <si>
    <t>sac</t>
  </si>
  <si>
    <t>Salsa</t>
  </si>
  <si>
    <t>pot</t>
  </si>
  <si>
    <t>Crème sure</t>
  </si>
  <si>
    <t>Fromage rapé</t>
  </si>
  <si>
    <t>Muffin</t>
  </si>
  <si>
    <t>Bébé carottes</t>
  </si>
  <si>
    <t>Hummus</t>
  </si>
  <si>
    <t>Breuvages</t>
  </si>
  <si>
    <t>Lait</t>
  </si>
  <si>
    <t>L</t>
  </si>
  <si>
    <t>Kraft Diner</t>
  </si>
  <si>
    <t>boite</t>
  </si>
  <si>
    <t>Beurre</t>
  </si>
  <si>
    <t>Hot dogs</t>
  </si>
  <si>
    <t>Kobebah</t>
  </si>
  <si>
    <t>Jus</t>
  </si>
  <si>
    <t>Jus en poudre</t>
  </si>
  <si>
    <t>boîte</t>
  </si>
  <si>
    <t>Hot Dogs</t>
  </si>
  <si>
    <t>Pains à hot dog</t>
  </si>
  <si>
    <t>Saucisses</t>
  </si>
  <si>
    <t>Hash browns</t>
  </si>
  <si>
    <t>Guacamole</t>
  </si>
  <si>
    <t>Avocats</t>
  </si>
  <si>
    <t>Coriandre</t>
  </si>
  <si>
    <t>Grilled cheese</t>
  </si>
  <si>
    <t>Pain</t>
  </si>
  <si>
    <t>Fromage singles</t>
  </si>
  <si>
    <t>Gaufres</t>
  </si>
  <si>
    <t>Gaufres - mélange maison</t>
  </si>
  <si>
    <t>Sirop d'érable</t>
  </si>
  <si>
    <t>Gaufres mix</t>
  </si>
  <si>
    <t>Bananes</t>
  </si>
  <si>
    <t>Fruit</t>
  </si>
  <si>
    <t>Fruit saison [2]</t>
  </si>
  <si>
    <t>Fruit saison [1]</t>
  </si>
  <si>
    <t>Foul</t>
  </si>
  <si>
    <t>Tomate</t>
  </si>
  <si>
    <t>Huile olive</t>
  </si>
  <si>
    <t>Petit pain pita</t>
  </si>
  <si>
    <t>Fondue chocolat</t>
  </si>
  <si>
    <t>Pastilles de chocolat noir</t>
  </si>
  <si>
    <t>Pastilles de chocolat blanc</t>
  </si>
  <si>
    <t>Pastilles de chocolat au lait</t>
  </si>
  <si>
    <t>Guimauves (mini)</t>
  </si>
  <si>
    <t>Melon</t>
  </si>
  <si>
    <t>Ananas</t>
  </si>
  <si>
    <t>Mangue</t>
  </si>
  <si>
    <t>Feuille de vigne</t>
  </si>
  <si>
    <t>Fajitas</t>
  </si>
  <si>
    <t>Poulet en lanières</t>
  </si>
  <si>
    <t>Crème sûre</t>
  </si>
  <si>
    <t>Olives</t>
  </si>
  <si>
    <t>Mozarella</t>
  </si>
  <si>
    <t>Croque Monsieur</t>
  </si>
  <si>
    <t>Pain à sandwich</t>
  </si>
  <si>
    <t>Crackers &amp; Hummus</t>
  </si>
  <si>
    <t>Biscuits soda</t>
  </si>
  <si>
    <t>Chocolat chaud</t>
  </si>
  <si>
    <t>Poudre de chocolat chaud</t>
  </si>
  <si>
    <t>Céréales</t>
  </si>
  <si>
    <t>Cantaloup</t>
  </si>
  <si>
    <t>Café - Nescafé</t>
  </si>
  <si>
    <t>Nescafé</t>
  </si>
  <si>
    <t>Sucre</t>
  </si>
  <si>
    <t>Brownies</t>
  </si>
  <si>
    <t>Brownie mix</t>
  </si>
  <si>
    <t>Garnitures</t>
  </si>
  <si>
    <t>différentes</t>
  </si>
  <si>
    <t>Biscuits Dads</t>
  </si>
  <si>
    <t>paquet</t>
  </si>
  <si>
    <t>Biscuits</t>
  </si>
  <si>
    <t>Barre tendres</t>
  </si>
  <si>
    <t>Banane</t>
  </si>
  <si>
    <t>Bagels - Saumon fumé</t>
  </si>
  <si>
    <t>Bagels</t>
  </si>
  <si>
    <t>Saumon fumé</t>
  </si>
  <si>
    <t>Fromage Philadelphia</t>
  </si>
  <si>
    <t>Ailes de poulet</t>
  </si>
  <si>
    <t>Ailes de poulets</t>
  </si>
  <si>
    <t>kg</t>
  </si>
  <si>
    <t>Crudités</t>
  </si>
  <si>
    <t>Trempettes</t>
  </si>
  <si>
    <t>Pots</t>
  </si>
  <si>
    <t>Raisins</t>
  </si>
  <si>
    <t>Oranges</t>
  </si>
  <si>
    <t>Mini fritata</t>
  </si>
  <si>
    <t>Oeufs</t>
  </si>
  <si>
    <t>Oignons verts</t>
  </si>
  <si>
    <t>Chips</t>
  </si>
  <si>
    <t>Sacs</t>
  </si>
  <si>
    <t>Club sandwich</t>
  </si>
  <si>
    <t>Poulet entier roti</t>
  </si>
  <si>
    <t>Bacon</t>
  </si>
  <si>
    <t>Pêches</t>
  </si>
  <si>
    <t>Viadne haché</t>
  </si>
  <si>
    <t>Crevettes</t>
  </si>
  <si>
    <t>Sac</t>
  </si>
  <si>
    <t>Jus d'orange</t>
  </si>
  <si>
    <t>mL</t>
  </si>
  <si>
    <t>Café Nescafe</t>
  </si>
  <si>
    <t>Thé</t>
  </si>
  <si>
    <t>sachets</t>
  </si>
  <si>
    <t>Charcuteries</t>
  </si>
  <si>
    <t>Fromage en barre</t>
  </si>
  <si>
    <t>Salami genois</t>
  </si>
  <si>
    <t>Mortadelle</t>
  </si>
  <si>
    <t>Sandwich scouts</t>
  </si>
  <si>
    <t>Pain pita</t>
  </si>
  <si>
    <t>Laitue</t>
  </si>
  <si>
    <t>Fromage Singles</t>
  </si>
  <si>
    <t>Conserves</t>
  </si>
  <si>
    <t>Jus en carton</t>
  </si>
  <si>
    <t>Breakfast sandwich</t>
  </si>
  <si>
    <t>Oeuf</t>
  </si>
  <si>
    <t>Hashbrown</t>
  </si>
  <si>
    <t>Kg</t>
  </si>
  <si>
    <t>Viande Haché</t>
  </si>
  <si>
    <t>Oignons jaunes</t>
  </si>
  <si>
    <t>Huile Canola</t>
  </si>
  <si>
    <t>Parmesan</t>
  </si>
  <si>
    <t>Sel</t>
  </si>
  <si>
    <t>Épices/sel/poivre</t>
  </si>
  <si>
    <t>Concombre</t>
  </si>
  <si>
    <t>Sauce italiene</t>
  </si>
  <si>
    <t>Pain aux bananes</t>
  </si>
  <si>
    <t>Farine</t>
  </si>
  <si>
    <t>Bicarbonade de soude</t>
  </si>
  <si>
    <t>Poudre a pate</t>
  </si>
  <si>
    <t>Yogourt Grec Vanille</t>
  </si>
  <si>
    <t>Citron</t>
  </si>
  <si>
    <t>Poulet au gravy</t>
  </si>
  <si>
    <t>Poulet</t>
  </si>
  <si>
    <t>Sauce gravy</t>
  </si>
  <si>
    <t>Petit poids et carotte</t>
  </si>
  <si>
    <t>Purée</t>
  </si>
  <si>
    <t>Purée en sachet</t>
  </si>
  <si>
    <t>Biscuits au brisure de chocolat</t>
  </si>
  <si>
    <t>Nestquik</t>
  </si>
  <si>
    <t>Pancakes</t>
  </si>
  <si>
    <t>Sirop d'érables</t>
  </si>
  <si>
    <t>Mix de pancakes</t>
  </si>
  <si>
    <t>Carotte</t>
  </si>
  <si>
    <t>Dad's</t>
  </si>
  <si>
    <t>REPAS</t>
  </si>
  <si>
    <t>CENTRE?</t>
  </si>
  <si>
    <t>ÉPICERIE?</t>
  </si>
  <si>
    <t>PAR PERSONNE</t>
  </si>
  <si>
    <t>POUR GROUPE</t>
  </si>
  <si>
    <t>INGRÉDIENT (PIV)</t>
  </si>
  <si>
    <t>Cheerios</t>
  </si>
  <si>
    <t>Frosted flakes</t>
  </si>
  <si>
    <t>Muffins</t>
  </si>
  <si>
    <t>Yogourt Grec</t>
  </si>
  <si>
    <t>Yogourt grec (individuel)</t>
  </si>
  <si>
    <t>Pommes</t>
  </si>
  <si>
    <t>Macaroni</t>
  </si>
  <si>
    <t>Thon</t>
  </si>
  <si>
    <t>Céleris</t>
  </si>
  <si>
    <t>Jus de citron (bouteille)</t>
  </si>
  <si>
    <t>Poulet à l'italienne</t>
  </si>
  <si>
    <t>Oignon</t>
  </si>
  <si>
    <t>Poivrons rouges</t>
  </si>
  <si>
    <t>Riz blanc</t>
  </si>
  <si>
    <t>Vinaigrette italienne Kraft</t>
  </si>
  <si>
    <t>Salade césar</t>
  </si>
  <si>
    <t>Cœur de laitue romaine</t>
  </si>
  <si>
    <t>Croutons (gros sac)</t>
  </si>
  <si>
    <t>Bacon émietté (sac)</t>
  </si>
  <si>
    <t>Fromage parmesan (sac)</t>
  </si>
  <si>
    <t>Jus de raisin</t>
  </si>
  <si>
    <t>Popcorn</t>
  </si>
  <si>
    <t>Popcorn (gros sac Costco)</t>
  </si>
  <si>
    <t>Œufs durs</t>
  </si>
  <si>
    <t>Toasts et confiture</t>
  </si>
  <si>
    <t>Confiture</t>
  </si>
  <si>
    <t>Gros pot</t>
  </si>
  <si>
    <t>Patates au four</t>
  </si>
  <si>
    <t>Pommes de terre</t>
  </si>
  <si>
    <t>boites</t>
  </si>
  <si>
    <t>Biscuits Dads (pq de 2 biscuits)</t>
  </si>
  <si>
    <t>Paquet</t>
  </si>
  <si>
    <t>Pennes</t>
  </si>
  <si>
    <t>tête d'ail</t>
  </si>
  <si>
    <t>Tomates en cubes</t>
  </si>
  <si>
    <t>Bohar (épice all spice)</t>
  </si>
  <si>
    <t>Légumes congelés</t>
  </si>
  <si>
    <t>Si gros Si bon</t>
  </si>
  <si>
    <t>Hot chocolate mix (gros sac)</t>
  </si>
  <si>
    <t>Pain brioché</t>
  </si>
  <si>
    <t>Parfait yogourt</t>
  </si>
  <si>
    <t>Yogourt vanille</t>
  </si>
  <si>
    <t>Petits fruits (framboises)</t>
  </si>
  <si>
    <t>Casseaux</t>
  </si>
  <si>
    <t>Granoles (sac)</t>
  </si>
  <si>
    <t>Lait au chocolat</t>
  </si>
  <si>
    <t>Sirop nesquik</t>
  </si>
  <si>
    <t>Relish</t>
  </si>
  <si>
    <t>Snacks</t>
  </si>
  <si>
    <t>Bébé carottes (gros sac)</t>
  </si>
  <si>
    <t xml:space="preserve">Melon d'eau </t>
  </si>
  <si>
    <t>Rice krispies</t>
  </si>
  <si>
    <t>Rice Krispies squares</t>
  </si>
  <si>
    <t>Briquettes de jus</t>
  </si>
  <si>
    <t>0. Autre</t>
  </si>
  <si>
    <t>Boîte</t>
  </si>
  <si>
    <t>Poivre</t>
  </si>
  <si>
    <t>Café instantané</t>
  </si>
  <si>
    <t>Liste des aliments disponible au centre</t>
  </si>
  <si>
    <t>1 boite de sel</t>
  </si>
  <si>
    <t>1L de nesquik</t>
  </si>
  <si>
    <t>500g de poudre nesquik</t>
  </si>
  <si>
    <t>1 gros pot de confiture au fraise</t>
  </si>
  <si>
    <t>300g (120 biscuits) soda et 225g de biscuit breton</t>
  </si>
  <si>
    <t>DÉJEUNER</t>
  </si>
  <si>
    <t>DÎNER</t>
  </si>
  <si>
    <t>Collation #1</t>
  </si>
  <si>
    <t>SOUPER</t>
  </si>
  <si>
    <t>Collation #2</t>
  </si>
  <si>
    <t>(All)</t>
  </si>
  <si>
    <t>Doritos (gros sac)</t>
  </si>
  <si>
    <t>VENDREDI</t>
  </si>
  <si>
    <t>SAMEDI</t>
  </si>
  <si>
    <t>DIMANCHE</t>
  </si>
  <si>
    <t>LUNDI</t>
  </si>
  <si>
    <t>Marc S.</t>
  </si>
  <si>
    <t>Salade pâtes</t>
  </si>
  <si>
    <t>Brochette souvlaki</t>
  </si>
  <si>
    <t>Brochette souvlaki porc</t>
  </si>
  <si>
    <t>Brochette souvlaki poulet</t>
  </si>
  <si>
    <t>Tazitziki Grec</t>
  </si>
  <si>
    <t>Tzatziki Grec</t>
  </si>
  <si>
    <t>Patates grecques</t>
  </si>
  <si>
    <t>Petites patates</t>
  </si>
  <si>
    <t>Oregan</t>
  </si>
  <si>
    <t>Œufs brouillis</t>
  </si>
  <si>
    <t>Huile végétale</t>
  </si>
  <si>
    <t>Charcuterie</t>
  </si>
  <si>
    <t>Salami</t>
  </si>
  <si>
    <t>Fromage</t>
  </si>
  <si>
    <t>Cheddar</t>
  </si>
  <si>
    <t>Suisse</t>
  </si>
  <si>
    <t>Melon d'eau</t>
  </si>
  <si>
    <t>Feta</t>
  </si>
  <si>
    <t>Toast et Fruits</t>
  </si>
  <si>
    <t>Pain toast</t>
  </si>
  <si>
    <t>Peanut Butter</t>
  </si>
  <si>
    <t>Hummus dip</t>
  </si>
  <si>
    <t>Poivron vert</t>
  </si>
  <si>
    <t>Crackers</t>
  </si>
  <si>
    <t>Poutine</t>
  </si>
  <si>
    <t>Tosititos</t>
  </si>
  <si>
    <t>Coriande</t>
  </si>
  <si>
    <t>Brownie bites</t>
  </si>
  <si>
    <t>Biscuits Si Gros Si Bons</t>
  </si>
  <si>
    <t>Biscuits Costco</t>
  </si>
  <si>
    <t>S'moores</t>
  </si>
  <si>
    <t>Marsmallow</t>
  </si>
  <si>
    <t>Céréale Type 1</t>
  </si>
  <si>
    <t>Céréale Type 2</t>
  </si>
  <si>
    <t>Chips Type 1</t>
  </si>
  <si>
    <t>Chips Type 2</t>
  </si>
  <si>
    <t>Chips Type 3</t>
  </si>
  <si>
    <t>Chips Type 4</t>
  </si>
  <si>
    <t>Boîte de jus</t>
  </si>
  <si>
    <t>Tostitos Scoops</t>
  </si>
  <si>
    <t>Céréales variés</t>
  </si>
  <si>
    <t>Trail Mix</t>
  </si>
  <si>
    <t>Wrap - Dinde</t>
  </si>
  <si>
    <t>Fromage en tranche</t>
  </si>
  <si>
    <t>Laitue romaine</t>
  </si>
  <si>
    <t>Carottes</t>
  </si>
  <si>
    <t>Craquelins et hummus</t>
  </si>
  <si>
    <t>Triscuits</t>
  </si>
  <si>
    <t>Vinaigrette</t>
  </si>
  <si>
    <t>Barres protéinées</t>
  </si>
  <si>
    <t>Sandwich thon</t>
  </si>
  <si>
    <t>Échalotes (oignons verts)</t>
  </si>
  <si>
    <t>Thé glacé</t>
  </si>
  <si>
    <t>Thé glacé en poudre</t>
  </si>
  <si>
    <t>Fromage râpé</t>
  </si>
  <si>
    <t>Olives noires</t>
  </si>
  <si>
    <t>Avocat</t>
  </si>
  <si>
    <t>Coriandre fraîche</t>
  </si>
  <si>
    <t>Lime</t>
  </si>
  <si>
    <t>Sandwich matin</t>
  </si>
  <si>
    <t xml:space="preserve">Varia </t>
  </si>
  <si>
    <t>Gatorade</t>
  </si>
  <si>
    <t>Poudre de gatorade</t>
  </si>
  <si>
    <t>Wrap - poulet</t>
  </si>
  <si>
    <t>Tartinade au poulet</t>
  </si>
  <si>
    <t>Fromage Petit Québec</t>
  </si>
  <si>
    <t>Hamburger</t>
  </si>
  <si>
    <t>Pain hamburger</t>
  </si>
  <si>
    <t>0.5</t>
  </si>
  <si>
    <t>Barres Val Nature</t>
  </si>
  <si>
    <t>Hachis Parmentier</t>
  </si>
  <si>
    <t>Gousse d'ail</t>
  </si>
  <si>
    <t>Oinion</t>
  </si>
  <si>
    <t>Persil</t>
  </si>
  <si>
    <t>Botte</t>
  </si>
  <si>
    <t>Plaquette</t>
  </si>
  <si>
    <t>Purée de pomme de terre</t>
  </si>
  <si>
    <t>Chapelure</t>
  </si>
  <si>
    <t>verres</t>
  </si>
  <si>
    <t>Fromage cheddar</t>
  </si>
  <si>
    <t>Wrap - Jambon</t>
  </si>
  <si>
    <t>Extrait de vanille</t>
  </si>
  <si>
    <t>Poisson</t>
  </si>
  <si>
    <t>Poisson frais</t>
  </si>
  <si>
    <t>Patates</t>
  </si>
  <si>
    <t>Biscuits aux chocolats</t>
  </si>
  <si>
    <t>Parfait Yogourt et Fruits</t>
  </si>
  <si>
    <t>Amandes</t>
  </si>
  <si>
    <t>Compote de pommes</t>
  </si>
  <si>
    <t>Biscuits Dad's</t>
  </si>
  <si>
    <t>0.25</t>
  </si>
  <si>
    <t>Piment</t>
  </si>
  <si>
    <t>Toast</t>
  </si>
  <si>
    <t>Salade de poulet</t>
  </si>
  <si>
    <t>Sauce ranch</t>
  </si>
  <si>
    <t>Macaronis avec boulettes</t>
  </si>
  <si>
    <t>Boulettes</t>
  </si>
  <si>
    <t>Basilic</t>
  </si>
  <si>
    <t>0.2</t>
  </si>
  <si>
    <t>parmesan</t>
  </si>
  <si>
    <t>Huile de mais</t>
  </si>
  <si>
    <t>Pudding au chocolat</t>
  </si>
  <si>
    <t>Toast/gaufre nutella/peanut</t>
  </si>
  <si>
    <t>Gaufre</t>
  </si>
  <si>
    <t>Fraises</t>
  </si>
  <si>
    <t>Froot loops</t>
  </si>
  <si>
    <t>Dads</t>
  </si>
  <si>
    <t>Sachet</t>
  </si>
  <si>
    <t>petit</t>
  </si>
  <si>
    <t>Origan</t>
  </si>
  <si>
    <t>Pain Naan</t>
  </si>
  <si>
    <t>Poivron Vert</t>
  </si>
  <si>
    <t xml:space="preserve">Sel </t>
  </si>
  <si>
    <t>Basilic séché</t>
  </si>
  <si>
    <t>Celeri</t>
  </si>
  <si>
    <t>Spaghetti à la viande</t>
  </si>
  <si>
    <t>Viande hachée</t>
  </si>
  <si>
    <t>Burger</t>
  </si>
  <si>
    <t>Onglet OPTIONS</t>
  </si>
  <si>
    <t>Onglet BIBLIOTHÈQUE</t>
  </si>
  <si>
    <t>Onglet INVENTAIRE CENTRE</t>
  </si>
  <si>
    <t>Onglet MENU VISUEL</t>
  </si>
  <si>
    <t>Onglet MENU</t>
  </si>
  <si>
    <t>Onglet LISTE D'ÉPICERIE</t>
  </si>
  <si>
    <t>Onglet DONNÉES</t>
  </si>
  <si>
    <t>Cet onglet permet de voir en un coup d'œil le menu du camp, il peut être modifié autant que désiré.</t>
  </si>
  <si>
    <t>ONGLETS DYNAMIQUES</t>
  </si>
  <si>
    <t>ONGLETS À MODIFIER</t>
  </si>
  <si>
    <t>Directives d'utilisation du fichier MENU et QUANTITÉS</t>
  </si>
  <si>
    <t>Exemple:</t>
  </si>
  <si>
    <t xml:space="preserve">L'objectif de ce fichier est de structurer l'élaboration d'un menu. Il contient aussi une base de données de plats précédents afin de donner de l'inspiration et une base. </t>
  </si>
  <si>
    <t xml:space="preserve">Cet onglet sert à énumérer les aliments disponibles et mis de côté au centre. Des directives additionnelles se retrouvent déjà dans l'onglet. </t>
  </si>
  <si>
    <t>Cet onglet consolide les données afin de montrer le menu et les quantités de façon structurer. Il peut être ajusté autant que désiré. Pour le mettre à jour il faut rafraîchir les données des tableaux croisés dynamiques dans l'onglet Analyser.</t>
  </si>
  <si>
    <t>Cet onglet consolide les données afin de montrer les différentes listes d'épicerie et les quantités de façon structurée et par section. 
Il doit être ajusté par les filtres afin de montrer l'information souhaitée. 
Pour le mettre à jour il faut rafraîchir les données des tableaux croisés dynamiques dans l'onglet Analyser.</t>
  </si>
  <si>
    <t>MOYENNE</t>
  </si>
  <si>
    <t>Dans cet onglet, il faut indiquer les dates correspondantes au camp, ainsi que le nombre de personnes à chaque moment. Le chiffre correspondant à la date sera utilisé dans l'onglet DONNÉES. 
"0" MOYENNE peut servir à identifier des aliments qui seront utilisés tout le temps. 
Il est possible d'avoir deux fois la même date avec des chiffres de journée différents pour indiquer un nombre de personnes différent à la même journée. (Ex. Des parents rejoignent le camp pour le diner avant le départ)</t>
  </si>
  <si>
    <t xml:space="preserve">Cet onglet constitue une base de données d'items de menu précédent. Il peut servir à générer des idées pour un repas ou comme point de départ pour établir des quantités. Il est possible que plusieurs items se répètent dans cet onglet. 
Il ne faut pas se fier aveuglément aux informations disponibles dans cet onglet (quantité, mesure, section, etc.). Il faut toujours réviser les données utilisées pour son menu. </t>
  </si>
  <si>
    <t>(blank)</t>
  </si>
  <si>
    <t>1 Boîte Café instantané</t>
  </si>
  <si>
    <t>1 Boîte Poivre</t>
  </si>
  <si>
    <t>1 Boîte Sel</t>
  </si>
  <si>
    <t>1 Boîte Sucre</t>
  </si>
  <si>
    <t>0</t>
  </si>
  <si>
    <t>Varia - Congelés</t>
  </si>
  <si>
    <t>SECTION D'ÉPICERIE</t>
  </si>
  <si>
    <t>*Il est possible d'ajouter des nouvelles sections ici</t>
  </si>
  <si>
    <t>C'est l'onglet principal à remplir. Toutes les colonnes bleues (pâles et foncé) doivent être remplies. Il est possible de les copier directement de l'onglet Bibliothèque, mais il faut les réviser. 
SECTION indique l'emplacement dans l'épicerie, il y a une liste déroulante pour assurer une utilisation uniforme, cependant, il est possible d'ajouter des choix à la liste déroulante dans l'onglet OPTIONS
PORTION 1 indique une portion individuelle;
MESURE indique l'unité de mesure utilisée pour la portion (il faut être le plus représentatif possible); 
CENTRE? Indique si l'ingrédient est mis de côté au centre (OUI/NON), 
ÉPICERIE indique ou et/ou à quel moment l'achat sera fait. 
Il est possible de forcer des quantités fixes peu importe le nombre de personnes (voir en exemple la formule utilisée dans la cellule portion pour 1 boîte de sel)</t>
  </si>
  <si>
    <t>e</t>
  </si>
  <si>
    <t>smores</t>
  </si>
  <si>
    <t xml:space="preserve">pasta salad </t>
  </si>
  <si>
    <t>toast/ waffle nutella/ peanut</t>
  </si>
  <si>
    <t>cookies</t>
  </si>
  <si>
    <t>rice crispy</t>
  </si>
  <si>
    <t>tacos +jus+ ris espagnol</t>
  </si>
  <si>
    <t>sandwiches ham + jus</t>
  </si>
  <si>
    <t>bagels with philadelphia +jus/milk</t>
  </si>
  <si>
    <t xml:space="preserve">pomme + fromage petit quebec </t>
  </si>
  <si>
    <t>930 g Jambon</t>
  </si>
  <si>
    <t>930 g Salami</t>
  </si>
  <si>
    <t>930 g Mortadelle</t>
  </si>
  <si>
    <t>930 g Poulet</t>
  </si>
  <si>
    <t>3.44444444444444 Sacs Chips</t>
  </si>
  <si>
    <t>77.5 unité Tortillas</t>
  </si>
  <si>
    <t>5270 g Poulet en lanières</t>
  </si>
  <si>
    <t>1922 ml Crème sûre</t>
  </si>
  <si>
    <t>2480 ml Salsa</t>
  </si>
  <si>
    <t>1736 ml Olives</t>
  </si>
  <si>
    <t>10.23 unité Tomate</t>
  </si>
  <si>
    <t>3.875 Unité Laitue iceberg</t>
  </si>
  <si>
    <t>930 g Mozarella</t>
  </si>
  <si>
    <t>4.65 unité Oignon rouge</t>
  </si>
  <si>
    <t>4.65 unité Poivron jaune</t>
  </si>
  <si>
    <t>4.65 unité Poivron rouge</t>
  </si>
  <si>
    <t>37.2 unité Œufs</t>
  </si>
  <si>
    <t>31 Unité Toasts</t>
  </si>
  <si>
    <t>620 ml Peanut butter</t>
  </si>
  <si>
    <t>620 ml Nutella</t>
  </si>
  <si>
    <t>31 Unité Gaufre</t>
  </si>
  <si>
    <t>15.5 Unité Banane</t>
  </si>
  <si>
    <t>124 Unité Fraises</t>
  </si>
  <si>
    <t>1240 ml Sirop d'érable</t>
  </si>
  <si>
    <t>yujuuu</t>
  </si>
  <si>
    <t>1240 g Chips Type 1</t>
  </si>
  <si>
    <t>1240 g Chips Type 2</t>
  </si>
  <si>
    <t>1240 g Chips Type 3</t>
  </si>
  <si>
    <t>1240 g Chips Type 4</t>
  </si>
  <si>
    <t>46.5 Unité Toasts</t>
  </si>
  <si>
    <t>62 Sacs au total Tostitos</t>
  </si>
  <si>
    <t>2.90625 canettes Olives tranchés</t>
  </si>
  <si>
    <t>0.96875 pot Salsa</t>
  </si>
  <si>
    <t>0.96875 pot Crème sure</t>
  </si>
  <si>
    <t>465 gr Fromage rapé</t>
  </si>
  <si>
    <t>1550 g Fromage râpé</t>
  </si>
  <si>
    <t>15.5 Unité Échalotes (oignons verts)</t>
  </si>
  <si>
    <t>10.3333333333333 Unité Avocat</t>
  </si>
  <si>
    <t>103.333333333333 g Coriandre fraîche</t>
  </si>
  <si>
    <t>5.16666666666667 Unité Lime</t>
  </si>
  <si>
    <t>1860 ml Macaroni</t>
  </si>
  <si>
    <t>6200 g Petites patates</t>
  </si>
  <si>
    <t>6.2 Unité Laitues iceberg</t>
  </si>
  <si>
    <t>1550 g Croutons</t>
  </si>
  <si>
    <t>620 ml Vignaigrette César</t>
  </si>
  <si>
    <t>0.62 Unité Bacon émietté (sac)</t>
  </si>
  <si>
    <t>0.96875 Pot Jus en poudre</t>
  </si>
  <si>
    <t>62 Unité Biscuits aux chocolats</t>
  </si>
  <si>
    <t>1023 gr Bébé carottes</t>
  </si>
  <si>
    <t>9.3 Unité Concombre anglais</t>
  </si>
  <si>
    <t>3.44444444444444 Pots Trempettes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</si>
</sst>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 mmmm\ dd"/>
    <numFmt numFmtId="165" formatCode="0.000"/>
  </numFmts>
  <fonts count="17" x14ac:knownFonts="1">
    <font>
      <sz val="11"/>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sz val="8"/>
      <name val="Calibri"/>
      <family val="2"/>
      <scheme val="minor"/>
    </font>
    <font>
      <sz val="11"/>
      <color theme="1"/>
      <name val="Calibri Light"/>
      <family val="2"/>
      <scheme val="major"/>
    </font>
    <font>
      <b/>
      <sz val="24"/>
      <color theme="1"/>
      <name val="Calibri Light"/>
      <family val="2"/>
      <scheme val="major"/>
    </font>
    <font>
      <sz val="11"/>
      <color theme="0"/>
      <name val="Calibri Light"/>
      <family val="2"/>
      <scheme val="major"/>
    </font>
    <font>
      <b/>
      <sz val="11"/>
      <color theme="0"/>
      <name val="Calibri Light"/>
      <family val="2"/>
      <scheme val="major"/>
    </font>
    <font>
      <b/>
      <sz val="11"/>
      <color theme="1"/>
      <name val="Calibri Light"/>
      <family val="2"/>
      <scheme val="major"/>
    </font>
    <font>
      <b/>
      <sz val="14"/>
      <color theme="0"/>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19B61"/>
        <bgColor indexed="64"/>
      </patternFill>
    </fill>
    <fill>
      <patternFill patternType="solid">
        <fgColor theme="1"/>
        <bgColor indexed="64"/>
      </patternFill>
    </fill>
    <fill>
      <patternFill patternType="lightUp"/>
    </fill>
    <fill>
      <patternFill patternType="solid">
        <fgColor theme="5" tint="-0.499984740745262"/>
        <bgColor indexed="64"/>
      </patternFill>
    </fill>
    <fill>
      <patternFill patternType="solid">
        <fgColor theme="5"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5"/>
        <bgColor indexed="64"/>
      </patternFill>
    </fill>
    <fill>
      <patternFill patternType="solid">
        <fgColor theme="5" tint="0.39997558519241921"/>
        <bgColor indexed="64"/>
      </patternFill>
    </fill>
    <fill>
      <patternFill patternType="solid">
        <fgColor theme="0" tint="-4.9989318521683403E-2"/>
        <bgColor indexed="64"/>
      </patternFill>
    </fill>
  </fills>
  <borders count="17">
    <border>
      <left/>
      <right/>
      <top/>
      <bottom/>
      <diagonal/>
    </border>
    <border>
      <left style="medium">
        <color auto="1"/>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72">
    <xf numFmtId="0" fontId="0" fillId="0" borderId="0" xfId="0"/>
    <xf numFmtId="0" fontId="0" fillId="0" borderId="0" xfId="0" pivotButton="1"/>
    <xf numFmtId="0" fontId="0" fillId="0" borderId="0" xfId="0" applyAlignment="1">
      <alignment horizontal="center" vertical="center"/>
    </xf>
    <xf numFmtId="164" fontId="0" fillId="0" borderId="0" xfId="0" applyNumberFormat="1" applyAlignment="1">
      <alignment horizontal="center" vertical="center"/>
    </xf>
    <xf numFmtId="0" fontId="1" fillId="0" borderId="0" xfId="0" applyFont="1" applyAlignment="1">
      <alignment horizontal="center" vertical="center" textRotation="90"/>
    </xf>
    <xf numFmtId="0" fontId="1" fillId="0" borderId="1" xfId="0" applyFont="1" applyBorder="1" applyAlignment="1">
      <alignment horizontal="center" vertical="center" textRotation="90"/>
    </xf>
    <xf numFmtId="0" fontId="1" fillId="0" borderId="2" xfId="0" applyFont="1" applyBorder="1" applyAlignment="1">
      <alignment horizontal="center" vertical="center" textRotation="90"/>
    </xf>
    <xf numFmtId="0" fontId="0" fillId="0" borderId="3" xfId="0" applyBorder="1" applyAlignment="1">
      <alignment horizontal="center" vertical="center" wrapText="1"/>
    </xf>
    <xf numFmtId="0" fontId="0" fillId="7" borderId="4" xfId="0" applyFill="1" applyBorder="1" applyAlignment="1">
      <alignment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7" borderId="7" xfId="0" applyFill="1" applyBorder="1" applyAlignment="1">
      <alignment vertical="center"/>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0" fillId="7" borderId="8" xfId="0" applyFill="1" applyBorder="1" applyAlignment="1">
      <alignment vertical="center"/>
    </xf>
    <xf numFmtId="0" fontId="4" fillId="6" borderId="0" xfId="0" applyFont="1" applyFill="1" applyAlignment="1">
      <alignment horizontal="center" vertical="center"/>
    </xf>
    <xf numFmtId="0" fontId="5" fillId="2" borderId="0" xfId="0" applyFont="1" applyFill="1" applyAlignment="1">
      <alignment horizontal="center" vertical="center"/>
    </xf>
    <xf numFmtId="0" fontId="6" fillId="5" borderId="0" xfId="0" applyFont="1" applyFill="1" applyAlignment="1">
      <alignment horizontal="center" vertical="center"/>
    </xf>
    <xf numFmtId="0" fontId="6" fillId="3" borderId="0" xfId="0" applyFont="1" applyFill="1" applyAlignment="1">
      <alignment horizontal="center" vertical="center"/>
    </xf>
    <xf numFmtId="0" fontId="6" fillId="4" borderId="0" xfId="0" applyFont="1" applyFill="1" applyAlignment="1">
      <alignment horizontal="center" vertical="center"/>
    </xf>
    <xf numFmtId="0" fontId="6" fillId="2" borderId="0" xfId="0" applyFont="1" applyFill="1" applyAlignment="1">
      <alignment horizontal="center" vertical="center"/>
    </xf>
    <xf numFmtId="0" fontId="6" fillId="4" borderId="0" xfId="0" applyFont="1" applyFill="1" applyAlignment="1">
      <alignment horizontal="center"/>
    </xf>
    <xf numFmtId="0" fontId="7" fillId="0" borderId="0" xfId="0" applyFont="1" applyAlignment="1">
      <alignment horizontal="center"/>
    </xf>
    <xf numFmtId="0" fontId="8" fillId="3" borderId="0" xfId="0" applyFont="1" applyFill="1" applyAlignment="1">
      <alignment horizontal="center"/>
    </xf>
    <xf numFmtId="164" fontId="8" fillId="5" borderId="0" xfId="0" applyNumberFormat="1" applyFont="1" applyFill="1" applyAlignment="1">
      <alignment horizontal="center"/>
    </xf>
    <xf numFmtId="0" fontId="8" fillId="5" borderId="0" xfId="0" applyFont="1" applyFill="1" applyAlignment="1">
      <alignment horizontal="center"/>
    </xf>
    <xf numFmtId="0" fontId="8" fillId="0" borderId="0" xfId="0" applyFont="1" applyAlignment="1">
      <alignment horizontal="center"/>
    </xf>
    <xf numFmtId="0" fontId="8" fillId="4" borderId="0" xfId="0" applyFont="1" applyFill="1" applyAlignment="1">
      <alignment horizontal="center"/>
    </xf>
    <xf numFmtId="0" fontId="0" fillId="3" borderId="0" xfId="0" applyFill="1" applyAlignment="1">
      <alignment horizontal="center"/>
    </xf>
    <xf numFmtId="0" fontId="0" fillId="4" borderId="0" xfId="0" applyFill="1" applyAlignment="1">
      <alignment horizontal="center" vertical="center"/>
    </xf>
    <xf numFmtId="0" fontId="0" fillId="3" borderId="0" xfId="0" applyFill="1" applyAlignment="1">
      <alignment horizontal="center" vertical="center"/>
    </xf>
    <xf numFmtId="2" fontId="6" fillId="4" borderId="0" xfId="0" applyNumberFormat="1" applyFont="1" applyFill="1" applyAlignment="1">
      <alignment horizontal="center" vertical="center"/>
    </xf>
    <xf numFmtId="0" fontId="0" fillId="0" borderId="0" xfId="0" applyAlignment="1">
      <alignment horizontal="left" vertical="center"/>
    </xf>
    <xf numFmtId="165" fontId="6" fillId="4" borderId="0" xfId="0" applyNumberFormat="1" applyFont="1" applyFill="1" applyAlignment="1">
      <alignment horizontal="center" vertical="center"/>
    </xf>
    <xf numFmtId="0" fontId="6" fillId="3" borderId="0" xfId="0" applyFont="1" applyFill="1" applyAlignment="1">
      <alignment horizontal="center"/>
    </xf>
    <xf numFmtId="0" fontId="9" fillId="0" borderId="0" xfId="0" applyFont="1" applyAlignment="1">
      <alignment horizontal="left" vertical="center"/>
    </xf>
    <xf numFmtId="0" fontId="4" fillId="6" borderId="0" xfId="0" applyFont="1" applyFill="1" applyAlignment="1">
      <alignment horizontal="center"/>
    </xf>
    <xf numFmtId="164" fontId="4" fillId="6" borderId="0" xfId="0" applyNumberFormat="1" applyFont="1" applyFill="1" applyAlignment="1">
      <alignment horizontal="center"/>
    </xf>
    <xf numFmtId="164" fontId="6" fillId="5" borderId="0" xfId="0" applyNumberFormat="1" applyFont="1" applyFill="1" applyAlignment="1">
      <alignment horizontal="center"/>
    </xf>
    <xf numFmtId="0" fontId="6" fillId="5" borderId="0" xfId="0" applyFont="1" applyFill="1" applyAlignment="1">
      <alignment horizontal="center"/>
    </xf>
    <xf numFmtId="14" fontId="0" fillId="0" borderId="0" xfId="0" applyNumberFormat="1"/>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9" xfId="0" applyFont="1" applyBorder="1" applyAlignment="1">
      <alignment horizontal="center" vertical="center"/>
    </xf>
    <xf numFmtId="0" fontId="0" fillId="0" borderId="0" xfId="0" applyAlignment="1">
      <alignment wrapText="1"/>
    </xf>
    <xf numFmtId="0" fontId="11" fillId="0" borderId="0" xfId="0" applyFont="1"/>
    <xf numFmtId="0" fontId="11" fillId="0" borderId="0" xfId="0" applyFont="1" applyAlignment="1">
      <alignment wrapText="1"/>
    </xf>
    <xf numFmtId="0" fontId="11" fillId="0" borderId="0" xfId="0" applyFont="1" applyAlignment="1">
      <alignment horizontal="center" vertical="top" wrapText="1"/>
    </xf>
    <xf numFmtId="0" fontId="12" fillId="0" borderId="0" xfId="0" applyFont="1" applyAlignment="1">
      <alignment horizontal="center" vertical="center"/>
    </xf>
    <xf numFmtId="17" fontId="11" fillId="0" borderId="3" xfId="0" applyNumberFormat="1"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4" xfId="0" applyFont="1" applyBorder="1" applyAlignment="1">
      <alignment horizontal="center" vertical="center"/>
    </xf>
    <xf numFmtId="17" fontId="11" fillId="0" borderId="15" xfId="0" applyNumberFormat="1" applyFont="1" applyBorder="1" applyAlignment="1">
      <alignment horizontal="center" vertical="center"/>
    </xf>
    <xf numFmtId="0" fontId="11" fillId="0" borderId="16" xfId="0" applyFont="1" applyBorder="1" applyAlignment="1">
      <alignment horizontal="center" vertical="center"/>
    </xf>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3" fillId="6" borderId="6" xfId="0" applyFont="1" applyFill="1" applyBorder="1" applyAlignment="1">
      <alignment horizontal="center" vertical="center"/>
    </xf>
    <xf numFmtId="0" fontId="11" fillId="9" borderId="13" xfId="0" applyFont="1" applyFill="1" applyBorder="1" applyAlignment="1">
      <alignment vertical="top" wrapText="1"/>
    </xf>
    <xf numFmtId="0" fontId="14" fillId="8" borderId="9" xfId="0" applyFont="1" applyFill="1" applyBorder="1" applyAlignment="1">
      <alignment horizontal="center" vertical="center" wrapText="1"/>
    </xf>
    <xf numFmtId="0" fontId="11" fillId="11" borderId="12" xfId="0" applyFont="1" applyFill="1" applyBorder="1" applyAlignment="1">
      <alignment horizontal="center" vertical="center" wrapText="1"/>
    </xf>
    <xf numFmtId="0" fontId="11" fillId="3" borderId="12" xfId="0" applyFont="1" applyFill="1" applyBorder="1" applyAlignment="1">
      <alignment wrapText="1"/>
    </xf>
    <xf numFmtId="0" fontId="11" fillId="3" borderId="13" xfId="0" applyFont="1" applyFill="1" applyBorder="1" applyAlignment="1">
      <alignment wrapText="1"/>
    </xf>
    <xf numFmtId="0" fontId="15" fillId="10" borderId="9" xfId="0" applyFont="1" applyFill="1" applyBorder="1" applyAlignment="1">
      <alignment horizontal="center" vertical="center" wrapText="1"/>
    </xf>
    <xf numFmtId="0" fontId="15" fillId="12" borderId="9" xfId="0" applyFont="1" applyFill="1" applyBorder="1" applyAlignment="1">
      <alignment horizontal="center" vertical="center" wrapText="1"/>
    </xf>
    <xf numFmtId="0" fontId="11" fillId="13" borderId="12" xfId="0" applyFont="1" applyFill="1" applyBorder="1" applyAlignment="1">
      <alignment horizontal="center" vertical="center" wrapText="1"/>
    </xf>
    <xf numFmtId="0" fontId="11" fillId="9" borderId="13" xfId="0" applyFont="1" applyFill="1" applyBorder="1" applyAlignment="1">
      <alignment wrapText="1"/>
    </xf>
    <xf numFmtId="0" fontId="0" fillId="0" borderId="3" xfId="0" applyBorder="1" applyAlignment="1">
      <alignment horizontal="center" vertical="center"/>
    </xf>
    <xf numFmtId="0" fontId="0" fillId="14" borderId="3" xfId="0" applyFill="1" applyBorder="1" applyAlignment="1">
      <alignment horizontal="center" vertical="center"/>
    </xf>
    <xf numFmtId="0" fontId="16" fillId="6" borderId="3" xfId="0" applyFont="1" applyFill="1" applyBorder="1" applyAlignment="1">
      <alignment horizontal="center" vertical="center"/>
    </xf>
    <xf numFmtId="164" fontId="0" fillId="0" borderId="3" xfId="0" applyNumberFormat="1" applyBorder="1" applyAlignment="1">
      <alignment horizontal="center" vertical="center"/>
    </xf>
    <xf numFmtId="0" fontId="11" fillId="9" borderId="12" xfId="0" applyFont="1" applyFill="1" applyBorder="1" applyAlignment="1">
      <alignment vertical="top" wrapText="1"/>
    </xf>
  </cellXfs>
  <cellStyles count="7">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Normal" xfId="0" builtinId="0"/>
  </cellStyles>
  <dxfs count="0"/>
  <tableStyles count="0" defaultTableStyle="TableStyleMedium2" defaultPivotStyle="PivotStyleLight16"/>
  <colors>
    <mruColors>
      <color rgb="FFF19B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absolute">
    <xdr:from>
      <xdr:col>7</xdr:col>
      <xdr:colOff>114300</xdr:colOff>
      <xdr:row>0</xdr:row>
      <xdr:rowOff>104776</xdr:rowOff>
    </xdr:from>
    <xdr:to>
      <xdr:col>8</xdr:col>
      <xdr:colOff>2809875</xdr:colOff>
      <xdr:row>9</xdr:row>
      <xdr:rowOff>171450</xdr:rowOff>
    </xdr:to>
    <xdr:sp macro="" textlink="">
      <xdr:nvSpPr>
        <xdr:cNvPr id="2" name="TextBox 1">
          <a:extLst>
            <a:ext uri="{FF2B5EF4-FFF2-40B4-BE49-F238E27FC236}">
              <a16:creationId xmlns:a16="http://schemas.microsoft.com/office/drawing/2014/main" id="{4545762F-15F4-41D1-BD35-6CD03DCDFC05}"/>
            </a:ext>
          </a:extLst>
        </xdr:cNvPr>
        <xdr:cNvSpPr txBox="1"/>
      </xdr:nvSpPr>
      <xdr:spPr>
        <a:xfrm>
          <a:off x="4248150" y="104776"/>
          <a:ext cx="3286125" cy="1857374"/>
        </a:xfrm>
        <a:prstGeom prst="rect">
          <a:avLst/>
        </a:prstGeom>
        <a:solidFill>
          <a:schemeClr val="accent4">
            <a:lumMod val="20000"/>
            <a:lumOff val="80000"/>
          </a:schemeClr>
        </a:solidFill>
        <a:ln w="19050" cmpd="sng">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0" i="0" u="none" strike="noStrike">
              <a:solidFill>
                <a:schemeClr val="dk1"/>
              </a:solidFill>
              <a:effectLst/>
              <a:latin typeface="+mn-lt"/>
              <a:ea typeface="+mn-ea"/>
              <a:cs typeface="+mn-cs"/>
            </a:rPr>
            <a:t>1. Énumérer les aliments mis de côté du centre</a:t>
          </a:r>
          <a:br>
            <a:rPr lang="en-CA" sz="1100" b="0" i="0" u="none" strike="noStrike">
              <a:solidFill>
                <a:schemeClr val="dk1"/>
              </a:solidFill>
              <a:effectLst/>
              <a:latin typeface="+mn-lt"/>
              <a:ea typeface="+mn-ea"/>
              <a:cs typeface="+mn-cs"/>
            </a:rPr>
          </a:br>
          <a:r>
            <a:rPr lang="en-CA" sz="1100" b="0" i="0" u="none" strike="noStrike">
              <a:solidFill>
                <a:schemeClr val="dk1"/>
              </a:solidFill>
              <a:effectLst/>
              <a:latin typeface="+mn-lt"/>
              <a:ea typeface="+mn-ea"/>
              <a:cs typeface="+mn-cs"/>
            </a:rPr>
            <a:t>2. Ajoutez-les dans l'onglet DONNÉES selon le format approprié</a:t>
          </a:r>
          <a:br>
            <a:rPr lang="en-CA" sz="1100" b="0" i="0" u="none" strike="noStrike">
              <a:solidFill>
                <a:schemeClr val="dk1"/>
              </a:solidFill>
              <a:effectLst/>
              <a:latin typeface="+mn-lt"/>
              <a:ea typeface="+mn-ea"/>
              <a:cs typeface="+mn-cs"/>
            </a:rPr>
          </a:br>
          <a:br>
            <a:rPr lang="en-CA" sz="1100" b="0" i="0" u="none" strike="noStrike">
              <a:solidFill>
                <a:schemeClr val="dk1"/>
              </a:solidFill>
              <a:effectLst/>
              <a:latin typeface="+mn-lt"/>
              <a:ea typeface="+mn-ea"/>
              <a:cs typeface="+mn-cs"/>
            </a:rPr>
          </a:br>
          <a:r>
            <a:rPr lang="en-CA" sz="1100" b="0" i="0" u="none" strike="noStrike">
              <a:solidFill>
                <a:schemeClr val="dk1"/>
              </a:solidFill>
              <a:effectLst/>
              <a:latin typeface="+mn-lt"/>
              <a:ea typeface="+mn-ea"/>
              <a:cs typeface="+mn-cs"/>
            </a:rPr>
            <a:t>**Cet onglet permet d'avoir une liste brute et plus personnalisée en fonction de la quantité réelle disponible</a:t>
          </a:r>
          <a:br>
            <a:rPr lang="en-CA" sz="1100" b="0" i="0" u="none" strike="noStrike">
              <a:solidFill>
                <a:schemeClr val="dk1"/>
              </a:solidFill>
              <a:effectLst/>
              <a:latin typeface="+mn-lt"/>
              <a:ea typeface="+mn-ea"/>
              <a:cs typeface="+mn-cs"/>
            </a:rPr>
          </a:br>
          <a:r>
            <a:rPr lang="en-CA" sz="1100" b="0" i="0" u="none" strike="noStrike">
              <a:solidFill>
                <a:schemeClr val="dk1"/>
              </a:solidFill>
              <a:effectLst/>
              <a:latin typeface="+mn-lt"/>
              <a:ea typeface="+mn-ea"/>
              <a:cs typeface="+mn-cs"/>
            </a:rPr>
            <a:t>*Il est possible de doubler des lignes d'un même ingrédient dans l'onglet DONNÉES afin de démontrer la quantité au centre et celle à acheter</a:t>
          </a:r>
          <a:r>
            <a:rPr lang="en-CA"/>
            <a:t> </a:t>
          </a:r>
          <a:endParaRPr lang="en-CA"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lil Salloum" refreshedDate="45656.528094791669" createdVersion="6" refreshedVersion="8" minRefreshableVersion="3" recordCount="64" xr:uid="{00000000-000A-0000-FFFF-FFFF00000000}">
  <cacheSource type="worksheet">
    <worksheetSource name="Données"/>
  </cacheSource>
  <cacheFields count="14">
    <cacheField name="JOURNÉE" numFmtId="0">
      <sharedItems containsString="0" containsBlank="1" containsNumber="1" containsInteger="1" minValue="0" maxValue="2"/>
    </cacheField>
    <cacheField name="DATE" numFmtId="164">
      <sharedItems containsNonDate="0" containsDate="1" containsMixedTypes="1" minDate="2024-12-30T00:00:00" maxDate="2025-01-01T00:00:00" count="3">
        <s v="MOYENNE"/>
        <d v="2024-12-31T00:00:00"/>
        <d v="2024-12-30T00:00:00"/>
      </sharedItems>
    </cacheField>
    <cacheField name="REPAS" numFmtId="0">
      <sharedItems containsBlank="1" count="6">
        <s v="0. Autre"/>
        <s v="2. Diner"/>
        <s v="3. Souper"/>
        <s v="1. Déjeuner"/>
        <s v="Collation"/>
        <m/>
      </sharedItems>
    </cacheField>
    <cacheField name="PLAT" numFmtId="0">
      <sharedItems containsBlank="1" count="19">
        <s v="Sucre"/>
        <s v="Sel"/>
        <s v="Poivre"/>
        <s v="Café instantané"/>
        <s v="Charcuterie"/>
        <s v="Chips"/>
        <s v="Fajitas"/>
        <s v="Œufs durs"/>
        <s v="Toast/gaufre nutella/peanut"/>
        <s v="Pain"/>
        <s v="Nachos"/>
        <s v="Macaronis avec boulettes"/>
        <s v="Patates grecques"/>
        <s v="Salade César"/>
        <s v="Jus"/>
        <s v="Biscuits aux chocolats"/>
        <s v="Crudités"/>
        <m/>
        <s v="Salade pâtes" u="1"/>
      </sharedItems>
    </cacheField>
    <cacheField name="INGRÉDIENT" numFmtId="0">
      <sharedItems containsBlank="1"/>
    </cacheField>
    <cacheField name="SECTION" numFmtId="0">
      <sharedItems containsBlank="1" count="6">
        <s v="Varia"/>
        <s v="Viandes"/>
        <s v="Produits céréaliers"/>
        <s v="Fruits et légumes"/>
        <s v="Produits laitiers"/>
        <m/>
      </sharedItems>
    </cacheField>
    <cacheField name="PORTION 1" numFmtId="0">
      <sharedItems containsBlank="1" containsMixedTypes="1" containsNumber="1" minValue="0.02" maxValue="200"/>
    </cacheField>
    <cacheField name="MESURE" numFmtId="0">
      <sharedItems containsBlank="1"/>
    </cacheField>
    <cacheField name="CENTRE?" numFmtId="0">
      <sharedItems containsNonDate="0" containsString="0" containsBlank="1" count="1">
        <m/>
      </sharedItems>
    </cacheField>
    <cacheField name="ÉPICERIE?" numFmtId="0">
      <sharedItems containsNonDate="0" containsString="0" containsBlank="1" count="1">
        <m/>
      </sharedItems>
    </cacheField>
    <cacheField name="PORTION GROUPE" numFmtId="0">
      <sharedItems containsSemiMixedTypes="0" containsString="0" containsNumber="1" minValue="0" maxValue="6200"/>
    </cacheField>
    <cacheField name="PAR PERSONNE" numFmtId="0">
      <sharedItems/>
    </cacheField>
    <cacheField name="POUR GROUPE" numFmtId="0">
      <sharedItems count="71">
        <s v="1 Boîte Sucre"/>
        <s v="1 Boîte Sel"/>
        <s v="1 Boîte Poivre"/>
        <s v="1 Boîte Café instantané"/>
        <s v="930 g Jambon"/>
        <s v="930 g Salami"/>
        <s v="930 g Mortadelle"/>
        <s v="930 g Poulet"/>
        <s v="3.44444444444444 Sacs Chips"/>
        <s v="77.5 unité Tortillas"/>
        <s v="5270 g Poulet en lanières"/>
        <s v="1922 ml Crème sûre"/>
        <s v="2480 ml Salsa"/>
        <s v="1736 ml Olives"/>
        <s v="10.23 unité Tomate"/>
        <s v="3.875 Unité Laitue iceberg"/>
        <s v="930 g Mozarella"/>
        <s v="4.65 unité Oignon rouge"/>
        <s v="4.65 unité Poivron jaune"/>
        <s v="4.65 unité Poivron rouge"/>
        <s v="37.2 unité Œufs"/>
        <s v="31 Unité Toasts"/>
        <s v="620 ml Peanut butter"/>
        <s v="620 ml Nutella"/>
        <s v="31 Unité Gaufre"/>
        <s v="15.5 Unité Banane"/>
        <s v="124 Unité Fraises"/>
        <s v="1240 ml Sirop d'érable"/>
        <s v="1240 g Chips Type 1"/>
        <s v="1240 g Chips Type 2"/>
        <s v="1240 g Chips Type 3"/>
        <s v="1240 g Chips Type 4"/>
        <s v="46.5 Unité Toasts"/>
        <s v="62 Sacs au total Tostitos"/>
        <s v="2.90625 canettes Olives tranchés"/>
        <s v="0.96875 pot Salsa"/>
        <s v="0.96875 pot Crème sure"/>
        <s v="465 gr Fromage rapé"/>
        <s v="1550 g Fromage râpé"/>
        <s v="15.5 Unité Échalotes (oignons verts)"/>
        <s v="10.3333333333333 Unité Avocat"/>
        <s v="103.333333333333 g Coriandre fraîche"/>
        <s v="5.16666666666667 Unité Lime"/>
        <s v="1860 ml Macaroni"/>
        <s v="6200 g Petites patates"/>
        <s v="6.2 Unité Laitues iceberg"/>
        <s v="1550 g Croutons"/>
        <s v="620 ml Vignaigrette César"/>
        <s v="0.62 Unité Bacon émietté (sac)"/>
        <s v="0.96875 Pot Jus en poudre"/>
        <s v="62 Unité Biscuits aux chocolats"/>
        <s v="1023 gr Bébé carottes"/>
        <s v="9.3 Unité Concombre anglais"/>
        <s v="3.44444444444444 Pots Trempettes"/>
        <s v="0"/>
        <s v="7285 ml Lait" u="1"/>
        <s v="1240 g Froot loops" u="1"/>
        <s v="1240 g Cheerios" u="1"/>
        <s v="0.96875 sac Bacon émiété" u="1"/>
        <s v="645.833333333333 ml Olives noires" u="1"/>
        <s v="5.1677 Unité Cœur de laitue romaine" u="1"/>
        <s v="0.62 Unité Croutons (gros sac)" u="1"/>
        <s v="0.319587628865979 Unité Fromage parmesan (sac)" u="1"/>
        <s v="10.3333333333333 Unité Laitue iceberg" u="1"/>
        <s v="2480 g Poulet en lanières" u="1"/>
        <s v="1860 g Farfalle" u="1"/>
        <s v="775 ml Mayonnaise" u="1"/>
        <s v="5.27 unité Poivron rouge" u="1"/>
        <s v="5.27 unité Poivron jaune" u="1"/>
        <s v="6.2 unité Concombre anglais" u="1"/>
        <s v="5.27 unité Échalote" u="1"/>
      </sharedItems>
    </cacheField>
    <cacheField name="INGRÉDIENT (PIV)"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n v="0"/>
    <x v="0"/>
    <x v="0"/>
    <x v="0"/>
    <s v="Sucre"/>
    <x v="0"/>
    <n v="3.2258064516129031E-2"/>
    <s v="Boîte"/>
    <x v="0"/>
    <x v="0"/>
    <n v="1"/>
    <s v="0.032258064516129 Boîte Sucre"/>
    <x v="0"/>
    <s v="Sucre (Boîte)"/>
  </r>
  <r>
    <n v="0"/>
    <x v="0"/>
    <x v="0"/>
    <x v="1"/>
    <s v="Sel"/>
    <x v="0"/>
    <n v="3.2258064516129031E-2"/>
    <s v="Boîte"/>
    <x v="0"/>
    <x v="0"/>
    <n v="1"/>
    <s v="0.032258064516129 Boîte Sel"/>
    <x v="1"/>
    <s v="Sel (Boîte)"/>
  </r>
  <r>
    <n v="0"/>
    <x v="0"/>
    <x v="0"/>
    <x v="2"/>
    <s v="Poivre"/>
    <x v="0"/>
    <n v="3.2258064516129031E-2"/>
    <s v="Boîte"/>
    <x v="0"/>
    <x v="0"/>
    <n v="1"/>
    <s v="0.032258064516129 Boîte Poivre"/>
    <x v="2"/>
    <s v="Poivre (Boîte)"/>
  </r>
  <r>
    <n v="0"/>
    <x v="0"/>
    <x v="0"/>
    <x v="3"/>
    <s v="Café instantané"/>
    <x v="0"/>
    <n v="3.2258064516129031E-2"/>
    <s v="Boîte"/>
    <x v="0"/>
    <x v="0"/>
    <n v="1"/>
    <s v="0.032258064516129 Boîte Café instantané"/>
    <x v="3"/>
    <s v="Café instantané (Boîte)"/>
  </r>
  <r>
    <n v="2"/>
    <x v="1"/>
    <x v="1"/>
    <x v="4"/>
    <s v="Jambon"/>
    <x v="1"/>
    <n v="30"/>
    <s v="g"/>
    <x v="0"/>
    <x v="0"/>
    <n v="930"/>
    <s v="30 g Jambon"/>
    <x v="4"/>
    <s v="Jambon (g)"/>
  </r>
  <r>
    <n v="2"/>
    <x v="1"/>
    <x v="1"/>
    <x v="4"/>
    <s v="Salami"/>
    <x v="1"/>
    <n v="30"/>
    <s v="g"/>
    <x v="0"/>
    <x v="0"/>
    <n v="930"/>
    <s v="30 g Salami"/>
    <x v="5"/>
    <s v="Salami (g)"/>
  </r>
  <r>
    <n v="2"/>
    <x v="1"/>
    <x v="1"/>
    <x v="4"/>
    <s v="Mortadelle"/>
    <x v="1"/>
    <n v="30"/>
    <s v="g"/>
    <x v="0"/>
    <x v="0"/>
    <n v="930"/>
    <s v="30 g Mortadelle"/>
    <x v="6"/>
    <s v="Mortadelle (g)"/>
  </r>
  <r>
    <n v="2"/>
    <x v="1"/>
    <x v="1"/>
    <x v="4"/>
    <s v="Poulet"/>
    <x v="1"/>
    <n v="30"/>
    <s v="g"/>
    <x v="0"/>
    <x v="0"/>
    <n v="930"/>
    <s v="30 g Poulet"/>
    <x v="7"/>
    <s v="Poulet (g)"/>
  </r>
  <r>
    <n v="2"/>
    <x v="1"/>
    <x v="1"/>
    <x v="5"/>
    <s v="Chips"/>
    <x v="0"/>
    <n v="0.1111111111111111"/>
    <s v="Sacs"/>
    <x v="0"/>
    <x v="0"/>
    <n v="3.4444444444444442"/>
    <s v="0.111111111111111 Sacs Chips"/>
    <x v="8"/>
    <s v="Chips (Sacs)"/>
  </r>
  <r>
    <n v="1"/>
    <x v="2"/>
    <x v="2"/>
    <x v="6"/>
    <s v="Tortillas"/>
    <x v="2"/>
    <n v="2.5"/>
    <s v="unité"/>
    <x v="0"/>
    <x v="0"/>
    <n v="77.5"/>
    <s v="2.5 unité Tortillas"/>
    <x v="9"/>
    <s v="Tortillas (unité)"/>
  </r>
  <r>
    <n v="1"/>
    <x v="2"/>
    <x v="2"/>
    <x v="6"/>
    <s v="Poulet en lanières"/>
    <x v="1"/>
    <n v="170"/>
    <s v="g"/>
    <x v="0"/>
    <x v="0"/>
    <n v="5270"/>
    <s v="170 g Poulet en lanières"/>
    <x v="10"/>
    <s v="Poulet en lanières (g)"/>
  </r>
  <r>
    <n v="1"/>
    <x v="2"/>
    <x v="2"/>
    <x v="6"/>
    <s v="Crème sûre"/>
    <x v="0"/>
    <n v="62"/>
    <s v="ml"/>
    <x v="0"/>
    <x v="0"/>
    <n v="1922"/>
    <s v="62 ml Crème sûre"/>
    <x v="11"/>
    <s v="Crème sûre (ml)"/>
  </r>
  <r>
    <n v="1"/>
    <x v="2"/>
    <x v="2"/>
    <x v="6"/>
    <s v="Salsa"/>
    <x v="0"/>
    <n v="80"/>
    <s v="ml"/>
    <x v="0"/>
    <x v="0"/>
    <n v="2480"/>
    <s v="80 ml Salsa"/>
    <x v="12"/>
    <s v="Salsa (ml)"/>
  </r>
  <r>
    <n v="1"/>
    <x v="2"/>
    <x v="2"/>
    <x v="6"/>
    <s v="Olives"/>
    <x v="3"/>
    <n v="56"/>
    <s v="ml"/>
    <x v="0"/>
    <x v="0"/>
    <n v="1736"/>
    <s v="56 ml Olives"/>
    <x v="13"/>
    <s v="Olives (ml)"/>
  </r>
  <r>
    <n v="1"/>
    <x v="2"/>
    <x v="2"/>
    <x v="6"/>
    <s v="Tomate"/>
    <x v="3"/>
    <n v="0.33"/>
    <s v="unité"/>
    <x v="0"/>
    <x v="0"/>
    <n v="10.23"/>
    <s v="0.33 unité Tomate"/>
    <x v="14"/>
    <s v="Tomate (unité)"/>
  </r>
  <r>
    <n v="1"/>
    <x v="2"/>
    <x v="2"/>
    <x v="6"/>
    <s v="Laitue iceberg"/>
    <x v="3"/>
    <n v="0.125"/>
    <s v="unité"/>
    <x v="0"/>
    <x v="0"/>
    <n v="3.875"/>
    <s v="0.125 Unité Laitue iceberg"/>
    <x v="15"/>
    <s v="Laitue iceberg (Unité)"/>
  </r>
  <r>
    <n v="1"/>
    <x v="2"/>
    <x v="2"/>
    <x v="6"/>
    <s v="Mozarella"/>
    <x v="4"/>
    <n v="30"/>
    <s v="g"/>
    <x v="0"/>
    <x v="0"/>
    <n v="930"/>
    <s v="30 g Mozarella"/>
    <x v="16"/>
    <s v="Mozarella (g)"/>
  </r>
  <r>
    <n v="1"/>
    <x v="2"/>
    <x v="2"/>
    <x v="6"/>
    <s v="Oignon rouge"/>
    <x v="3"/>
    <n v="0.15"/>
    <s v="unité"/>
    <x v="0"/>
    <x v="0"/>
    <n v="4.6499999999999995"/>
    <s v="0.15 unité Oignon rouge"/>
    <x v="17"/>
    <s v="Oignon rouge (unité)"/>
  </r>
  <r>
    <n v="1"/>
    <x v="2"/>
    <x v="2"/>
    <x v="6"/>
    <s v="Poivron jaune"/>
    <x v="3"/>
    <n v="0.15"/>
    <s v="unité"/>
    <x v="0"/>
    <x v="0"/>
    <n v="4.6499999999999995"/>
    <s v="0.15 unité Poivron jaune"/>
    <x v="18"/>
    <s v="Poivron jaune (unité)"/>
  </r>
  <r>
    <n v="1"/>
    <x v="2"/>
    <x v="2"/>
    <x v="6"/>
    <s v="Poivron rouge"/>
    <x v="3"/>
    <n v="0.15"/>
    <s v="unité"/>
    <x v="0"/>
    <x v="0"/>
    <n v="4.6499999999999995"/>
    <s v="0.15 unité Poivron rouge"/>
    <x v="19"/>
    <s v="Poivron rouge (unité)"/>
  </r>
  <r>
    <n v="2"/>
    <x v="1"/>
    <x v="3"/>
    <x v="7"/>
    <s v="Œufs"/>
    <x v="4"/>
    <n v="1.2"/>
    <s v="unité"/>
    <x v="0"/>
    <x v="0"/>
    <n v="37.199999999999996"/>
    <s v="1.2 unité Œufs"/>
    <x v="20"/>
    <s v="Œufs (unité)"/>
  </r>
  <r>
    <n v="2"/>
    <x v="1"/>
    <x v="3"/>
    <x v="8"/>
    <s v="Toasts"/>
    <x v="2"/>
    <n v="1"/>
    <s v="unité"/>
    <x v="0"/>
    <x v="0"/>
    <n v="31"/>
    <s v="1 Unité Toasts"/>
    <x v="21"/>
    <s v="Toasts (Unité)"/>
  </r>
  <r>
    <n v="2"/>
    <x v="1"/>
    <x v="3"/>
    <x v="8"/>
    <s v="Peanut butter"/>
    <x v="0"/>
    <n v="20"/>
    <s v="ml"/>
    <x v="0"/>
    <x v="0"/>
    <n v="620"/>
    <s v="20 ml Peanut butter"/>
    <x v="22"/>
    <s v="Peanut butter (ml)"/>
  </r>
  <r>
    <n v="2"/>
    <x v="1"/>
    <x v="3"/>
    <x v="8"/>
    <s v="Nutella"/>
    <x v="0"/>
    <n v="20"/>
    <s v="ml"/>
    <x v="0"/>
    <x v="0"/>
    <n v="620"/>
    <s v="20 ml Nutella"/>
    <x v="23"/>
    <s v="Nutella (ml)"/>
  </r>
  <r>
    <n v="2"/>
    <x v="1"/>
    <x v="3"/>
    <x v="8"/>
    <s v="Gaufre"/>
    <x v="2"/>
    <n v="1"/>
    <s v="unité"/>
    <x v="0"/>
    <x v="0"/>
    <n v="31"/>
    <s v="1 Unité Gaufre"/>
    <x v="24"/>
    <s v="Gaufre (Unité)"/>
  </r>
  <r>
    <n v="2"/>
    <x v="1"/>
    <x v="3"/>
    <x v="8"/>
    <s v="Banane"/>
    <x v="3"/>
    <s v="0.5"/>
    <s v="unité"/>
    <x v="0"/>
    <x v="0"/>
    <n v="15.5"/>
    <s v="0.5 Unité Banane"/>
    <x v="25"/>
    <s v="Banane (Unité)"/>
  </r>
  <r>
    <n v="2"/>
    <x v="1"/>
    <x v="3"/>
    <x v="8"/>
    <s v="Fraises"/>
    <x v="3"/>
    <n v="4"/>
    <s v="unité"/>
    <x v="0"/>
    <x v="0"/>
    <n v="124"/>
    <s v="4 Unité Fraises"/>
    <x v="26"/>
    <s v="Fraises (Unité)"/>
  </r>
  <r>
    <n v="2"/>
    <x v="1"/>
    <x v="3"/>
    <x v="8"/>
    <s v="Sirop d'érable"/>
    <x v="0"/>
    <n v="40"/>
    <s v="ml"/>
    <x v="0"/>
    <x v="0"/>
    <n v="1240"/>
    <s v="40 ml Sirop d'érable"/>
    <x v="27"/>
    <s v="Sirop d'érable (ml)"/>
  </r>
  <r>
    <n v="2"/>
    <x v="1"/>
    <x v="4"/>
    <x v="5"/>
    <s v="Chips Type 1"/>
    <x v="0"/>
    <n v="40"/>
    <s v="g"/>
    <x v="0"/>
    <x v="0"/>
    <n v="1240"/>
    <s v="40 g Chips Type 1"/>
    <x v="28"/>
    <s v="Chips Type 1 (g)"/>
  </r>
  <r>
    <n v="2"/>
    <x v="1"/>
    <x v="4"/>
    <x v="5"/>
    <s v="Chips Type 2"/>
    <x v="0"/>
    <n v="40"/>
    <s v="g"/>
    <x v="0"/>
    <x v="0"/>
    <n v="1240"/>
    <s v="40 g Chips Type 2"/>
    <x v="29"/>
    <s v="Chips Type 2 (g)"/>
  </r>
  <r>
    <n v="2"/>
    <x v="1"/>
    <x v="4"/>
    <x v="5"/>
    <s v="Chips Type 3"/>
    <x v="0"/>
    <n v="40"/>
    <s v="g"/>
    <x v="0"/>
    <x v="0"/>
    <n v="1240"/>
    <s v="40 g Chips Type 3"/>
    <x v="30"/>
    <s v="Chips Type 3 (g)"/>
  </r>
  <r>
    <n v="2"/>
    <x v="1"/>
    <x v="4"/>
    <x v="5"/>
    <s v="Chips Type 4"/>
    <x v="0"/>
    <n v="40"/>
    <s v="g"/>
    <x v="0"/>
    <x v="0"/>
    <n v="1240"/>
    <s v="40 g Chips Type 4"/>
    <x v="31"/>
    <s v="Chips Type 4 (g)"/>
  </r>
  <r>
    <n v="2"/>
    <x v="1"/>
    <x v="3"/>
    <x v="9"/>
    <s v="Toasts"/>
    <x v="2"/>
    <n v="1.5"/>
    <s v="unité"/>
    <x v="0"/>
    <x v="0"/>
    <n v="46.5"/>
    <s v="1.5 Unité Toasts"/>
    <x v="32"/>
    <s v="Toasts (Unité)"/>
  </r>
  <r>
    <n v="2"/>
    <x v="1"/>
    <x v="4"/>
    <x v="10"/>
    <s v="Tostitos"/>
    <x v="0"/>
    <n v="2"/>
    <s v="Sacs au total"/>
    <x v="0"/>
    <x v="0"/>
    <n v="62"/>
    <s v="2 Sacs au total Tostitos"/>
    <x v="33"/>
    <s v="Tostitos (Sacs au total)"/>
  </r>
  <r>
    <n v="2"/>
    <x v="1"/>
    <x v="4"/>
    <x v="10"/>
    <s v="Olives tranchés"/>
    <x v="0"/>
    <n v="9.375E-2"/>
    <s v="canettes"/>
    <x v="0"/>
    <x v="0"/>
    <n v="2.90625"/>
    <s v="0.09375 canettes Olives tranchés"/>
    <x v="34"/>
    <s v="Olives tranchés (canettes)"/>
  </r>
  <r>
    <n v="2"/>
    <x v="1"/>
    <x v="4"/>
    <x v="10"/>
    <s v="Salsa"/>
    <x v="0"/>
    <n v="3.125E-2"/>
    <s v="pot"/>
    <x v="0"/>
    <x v="0"/>
    <n v="0.96875"/>
    <s v="0.03125 pot Salsa"/>
    <x v="35"/>
    <s v="Salsa (pot)"/>
  </r>
  <r>
    <n v="2"/>
    <x v="1"/>
    <x v="4"/>
    <x v="10"/>
    <s v="Crème sure"/>
    <x v="4"/>
    <n v="3.125E-2"/>
    <s v="pot"/>
    <x v="0"/>
    <x v="0"/>
    <n v="0.96875"/>
    <s v="0.03125 pot Crème sure"/>
    <x v="36"/>
    <s v="Crème sure (pot)"/>
  </r>
  <r>
    <n v="2"/>
    <x v="1"/>
    <x v="4"/>
    <x v="10"/>
    <s v="Fromage rapé"/>
    <x v="4"/>
    <n v="15"/>
    <s v="gr"/>
    <x v="0"/>
    <x v="0"/>
    <n v="465"/>
    <s v="15 gr Fromage rapé"/>
    <x v="37"/>
    <s v="Fromage rapé (gr)"/>
  </r>
  <r>
    <n v="2"/>
    <x v="1"/>
    <x v="4"/>
    <x v="10"/>
    <s v="Fromage râpé"/>
    <x v="4"/>
    <n v="50"/>
    <s v="g"/>
    <x v="0"/>
    <x v="0"/>
    <n v="1550"/>
    <s v="50 g Fromage râpé"/>
    <x v="38"/>
    <s v="Fromage râpé (g)"/>
  </r>
  <r>
    <n v="2"/>
    <x v="1"/>
    <x v="4"/>
    <x v="10"/>
    <s v="Échalotes (oignons verts)"/>
    <x v="3"/>
    <n v="0.5"/>
    <s v="unité"/>
    <x v="0"/>
    <x v="0"/>
    <n v="15.5"/>
    <s v="0.5 Unité Échalotes (oignons verts)"/>
    <x v="39"/>
    <s v="Échalotes (oignons verts) (Unité)"/>
  </r>
  <r>
    <n v="2"/>
    <x v="1"/>
    <x v="4"/>
    <x v="10"/>
    <s v="Avocat"/>
    <x v="3"/>
    <n v="0.33333333333333331"/>
    <s v="unité"/>
    <x v="0"/>
    <x v="0"/>
    <n v="10.333333333333332"/>
    <s v="0.333333333333333 Unité Avocat"/>
    <x v="40"/>
    <s v="Avocat (Unité)"/>
  </r>
  <r>
    <n v="2"/>
    <x v="1"/>
    <x v="4"/>
    <x v="10"/>
    <s v="Coriandre fraîche"/>
    <x v="3"/>
    <n v="3.3333333333333335"/>
    <s v="g"/>
    <x v="0"/>
    <x v="0"/>
    <n v="103.33333333333334"/>
    <s v="3.33333333333333 g Coriandre fraîche"/>
    <x v="41"/>
    <s v="Coriandre fraîche (g)"/>
  </r>
  <r>
    <n v="2"/>
    <x v="1"/>
    <x v="4"/>
    <x v="10"/>
    <s v="Lime"/>
    <x v="3"/>
    <n v="0.16666666666666666"/>
    <s v="unité"/>
    <x v="0"/>
    <x v="0"/>
    <n v="5.1666666666666661"/>
    <s v="0.166666666666667 Unité Lime"/>
    <x v="42"/>
    <s v="Lime (Unité)"/>
  </r>
  <r>
    <n v="2"/>
    <x v="1"/>
    <x v="2"/>
    <x v="11"/>
    <s v="Macaroni"/>
    <x v="2"/>
    <n v="60"/>
    <s v="ml"/>
    <x v="0"/>
    <x v="0"/>
    <n v="1860"/>
    <s v="60 ml Macaroni"/>
    <x v="43"/>
    <s v="Macaroni (ml)"/>
  </r>
  <r>
    <n v="2"/>
    <x v="1"/>
    <x v="2"/>
    <x v="12"/>
    <s v="Petites patates"/>
    <x v="3"/>
    <n v="200"/>
    <s v="g"/>
    <x v="0"/>
    <x v="0"/>
    <n v="6200"/>
    <s v="200 g Petites patates"/>
    <x v="44"/>
    <s v="Petites patates (g)"/>
  </r>
  <r>
    <n v="2"/>
    <x v="1"/>
    <x v="2"/>
    <x v="13"/>
    <s v="Laitues iceberg"/>
    <x v="3"/>
    <n v="0.2"/>
    <s v="unité"/>
    <x v="0"/>
    <x v="0"/>
    <n v="6.2"/>
    <s v="0.2 Unité Laitues iceberg"/>
    <x v="45"/>
    <s v="Laitues iceberg (Unité)"/>
  </r>
  <r>
    <n v="2"/>
    <x v="1"/>
    <x v="2"/>
    <x v="13"/>
    <s v="Croutons"/>
    <x v="3"/>
    <n v="50"/>
    <s v="g"/>
    <x v="0"/>
    <x v="0"/>
    <n v="1550"/>
    <s v="50 g Croutons"/>
    <x v="46"/>
    <s v="Croutons (g)"/>
  </r>
  <r>
    <n v="2"/>
    <x v="1"/>
    <x v="2"/>
    <x v="13"/>
    <s v="Vignaigrette César"/>
    <x v="0"/>
    <n v="20"/>
    <s v="ml"/>
    <x v="0"/>
    <x v="0"/>
    <n v="620"/>
    <s v="20 ml Vignaigrette César"/>
    <x v="47"/>
    <s v="Vignaigrette César (ml)"/>
  </r>
  <r>
    <n v="2"/>
    <x v="1"/>
    <x v="2"/>
    <x v="13"/>
    <s v="Bacon émietté (sac)"/>
    <x v="1"/>
    <n v="0.02"/>
    <s v="unité"/>
    <x v="0"/>
    <x v="0"/>
    <n v="0.62"/>
    <s v="0.02 Unité Bacon émietté (sac)"/>
    <x v="48"/>
    <s v="Bacon émietté (sac) (Unité)"/>
  </r>
  <r>
    <n v="2"/>
    <x v="1"/>
    <x v="1"/>
    <x v="14"/>
    <s v="Jus en poudre"/>
    <x v="0"/>
    <n v="3.125E-2"/>
    <s v="pot"/>
    <x v="0"/>
    <x v="0"/>
    <n v="0.96875"/>
    <s v="0.03125 Pot Jus en poudre"/>
    <x v="49"/>
    <s v="Jus en poudre (Pot)"/>
  </r>
  <r>
    <n v="2"/>
    <x v="1"/>
    <x v="4"/>
    <x v="15"/>
    <s v="Biscuits aux chocolats"/>
    <x v="0"/>
    <n v="2"/>
    <s v="unité"/>
    <x v="0"/>
    <x v="0"/>
    <n v="62"/>
    <s v="2 Unité Biscuits aux chocolats"/>
    <x v="50"/>
    <s v="Biscuits aux chocolats (Unité)"/>
  </r>
  <r>
    <n v="2"/>
    <x v="1"/>
    <x v="4"/>
    <x v="16"/>
    <s v="Bébé carottes"/>
    <x v="3"/>
    <n v="33"/>
    <s v="gr"/>
    <x v="0"/>
    <x v="0"/>
    <n v="1023"/>
    <s v="33 gr Bébé carottes"/>
    <x v="51"/>
    <s v="Bébé carottes (gr)"/>
  </r>
  <r>
    <n v="2"/>
    <x v="1"/>
    <x v="4"/>
    <x v="16"/>
    <s v="Concombre anglais"/>
    <x v="3"/>
    <n v="0.3"/>
    <s v="unité"/>
    <x v="0"/>
    <x v="0"/>
    <n v="9.2999999999999989"/>
    <s v="0.3 Unité Concombre anglais"/>
    <x v="52"/>
    <s v="Concombre anglais (Unité)"/>
  </r>
  <r>
    <n v="2"/>
    <x v="1"/>
    <x v="4"/>
    <x v="16"/>
    <s v="Trempettes"/>
    <x v="0"/>
    <n v="0.1111111111111111"/>
    <s v="Pots"/>
    <x v="0"/>
    <x v="0"/>
    <n v="3.4444444444444442"/>
    <s v="0.111111111111111 Pots Trempettes"/>
    <x v="53"/>
    <s v="Trempettes (Pots)"/>
  </r>
  <r>
    <m/>
    <x v="0"/>
    <x v="5"/>
    <x v="17"/>
    <m/>
    <x v="5"/>
    <m/>
    <m/>
    <x v="0"/>
    <x v="0"/>
    <n v="0"/>
    <s v=""/>
    <x v="54"/>
    <s v=" ()"/>
  </r>
  <r>
    <m/>
    <x v="0"/>
    <x v="5"/>
    <x v="17"/>
    <m/>
    <x v="5"/>
    <m/>
    <m/>
    <x v="0"/>
    <x v="0"/>
    <n v="0"/>
    <s v=""/>
    <x v="54"/>
    <s v=" ()"/>
  </r>
  <r>
    <m/>
    <x v="0"/>
    <x v="5"/>
    <x v="17"/>
    <m/>
    <x v="5"/>
    <m/>
    <m/>
    <x v="0"/>
    <x v="0"/>
    <n v="0"/>
    <s v=""/>
    <x v="54"/>
    <s v=" ()"/>
  </r>
  <r>
    <m/>
    <x v="0"/>
    <x v="5"/>
    <x v="17"/>
    <m/>
    <x v="5"/>
    <m/>
    <m/>
    <x v="0"/>
    <x v="0"/>
    <n v="0"/>
    <s v=""/>
    <x v="54"/>
    <s v=" ()"/>
  </r>
  <r>
    <m/>
    <x v="0"/>
    <x v="5"/>
    <x v="17"/>
    <m/>
    <x v="5"/>
    <m/>
    <m/>
    <x v="0"/>
    <x v="0"/>
    <n v="0"/>
    <s v=""/>
    <x v="54"/>
    <s v=" ()"/>
  </r>
  <r>
    <m/>
    <x v="0"/>
    <x v="5"/>
    <x v="17"/>
    <m/>
    <x v="5"/>
    <m/>
    <m/>
    <x v="0"/>
    <x v="0"/>
    <n v="0"/>
    <s v=""/>
    <x v="54"/>
    <s v=" ()"/>
  </r>
  <r>
    <m/>
    <x v="0"/>
    <x v="5"/>
    <x v="17"/>
    <m/>
    <x v="5"/>
    <m/>
    <m/>
    <x v="0"/>
    <x v="0"/>
    <n v="0"/>
    <s v=""/>
    <x v="54"/>
    <s v=" ()"/>
  </r>
  <r>
    <m/>
    <x v="0"/>
    <x v="5"/>
    <x v="17"/>
    <m/>
    <x v="5"/>
    <m/>
    <m/>
    <x v="0"/>
    <x v="0"/>
    <n v="0"/>
    <s v=""/>
    <x v="54"/>
    <s v=" ()"/>
  </r>
  <r>
    <m/>
    <x v="0"/>
    <x v="5"/>
    <x v="17"/>
    <m/>
    <x v="5"/>
    <m/>
    <m/>
    <x v="0"/>
    <x v="0"/>
    <n v="0"/>
    <s v=""/>
    <x v="54"/>
    <s v=" ()"/>
  </r>
  <r>
    <m/>
    <x v="0"/>
    <x v="5"/>
    <x v="17"/>
    <m/>
    <x v="5"/>
    <m/>
    <m/>
    <x v="0"/>
    <x v="0"/>
    <n v="0"/>
    <s v=""/>
    <x v="54"/>
    <s v="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3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A1:D56" firstHeaderRow="1" firstDataRow="1" firstDataCol="4"/>
  <pivotFields count="14">
    <pivotField compact="0" outline="0" showAll="0" defaultSubtotal="0"/>
    <pivotField axis="axisRow" compact="0" outline="0" showAll="0" defaultSubtotal="0">
      <items count="3">
        <item x="0"/>
        <item x="1"/>
        <item x="2"/>
      </items>
    </pivotField>
    <pivotField axis="axisRow" compact="0" outline="0" showAll="0" defaultSubtotal="0">
      <items count="6">
        <item x="0"/>
        <item x="5"/>
        <item x="1"/>
        <item x="2"/>
        <item x="3"/>
        <item x="4"/>
      </items>
    </pivotField>
    <pivotField axis="axisRow" compact="0" outline="0" showAll="0" defaultSubtotal="0">
      <items count="19">
        <item x="3"/>
        <item x="2"/>
        <item x="1"/>
        <item x="0"/>
        <item x="17"/>
        <item m="1" x="18"/>
        <item x="4"/>
        <item x="5"/>
        <item x="6"/>
        <item x="7"/>
        <item x="8"/>
        <item x="9"/>
        <item x="10"/>
        <item x="11"/>
        <item x="12"/>
        <item x="13"/>
        <item x="14"/>
        <item x="15"/>
        <item x="1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71">
        <item x="54"/>
        <item x="3"/>
        <item x="2"/>
        <item x="1"/>
        <item x="0"/>
        <item m="1" x="65"/>
        <item m="1" x="66"/>
        <item m="1" x="67"/>
        <item m="1" x="68"/>
        <item m="1" x="69"/>
        <item m="1" x="70"/>
        <item x="4"/>
        <item x="5"/>
        <item x="6"/>
        <item x="7"/>
        <item x="8"/>
        <item x="9"/>
        <item x="10"/>
        <item x="11"/>
        <item x="12"/>
        <item x="13"/>
        <item x="14"/>
        <item x="15"/>
        <item x="16"/>
        <item x="17"/>
        <item x="18"/>
        <item x="19"/>
        <item x="20"/>
        <item x="21"/>
        <item x="22"/>
        <item x="23"/>
        <item x="24"/>
        <item x="25"/>
        <item x="26"/>
        <item x="27"/>
        <item m="1" x="55"/>
        <item m="1" x="56"/>
        <item m="1" x="57"/>
        <item x="28"/>
        <item x="29"/>
        <item x="30"/>
        <item x="31"/>
        <item x="32"/>
        <item x="33"/>
        <item x="34"/>
        <item m="1" x="58"/>
        <item x="35"/>
        <item x="36"/>
        <item x="37"/>
        <item x="38"/>
        <item x="39"/>
        <item m="1" x="59"/>
        <item x="40"/>
        <item x="41"/>
        <item x="42"/>
        <item x="43"/>
        <item x="44"/>
        <item x="45"/>
        <item x="46"/>
        <item x="47"/>
        <item m="1" x="60"/>
        <item m="1" x="61"/>
        <item x="48"/>
        <item m="1" x="62"/>
        <item m="1" x="63"/>
        <item m="1" x="64"/>
        <item x="49"/>
        <item x="50"/>
        <item x="51"/>
        <item x="52"/>
        <item x="53"/>
      </items>
    </pivotField>
    <pivotField compact="0" outline="0" showAll="0" defaultSubtotal="0"/>
  </pivotFields>
  <rowFields count="4">
    <field x="1"/>
    <field x="2"/>
    <field x="3"/>
    <field x="12"/>
  </rowFields>
  <rowItems count="55">
    <i>
      <x/>
      <x/>
      <x/>
      <x v="1"/>
    </i>
    <i r="2">
      <x v="1"/>
      <x v="2"/>
    </i>
    <i r="2">
      <x v="2"/>
      <x v="3"/>
    </i>
    <i r="2">
      <x v="3"/>
      <x v="4"/>
    </i>
    <i r="1">
      <x v="1"/>
      <x v="4"/>
      <x/>
    </i>
    <i>
      <x v="1"/>
      <x v="2"/>
      <x v="6"/>
      <x v="11"/>
    </i>
    <i r="3">
      <x v="12"/>
    </i>
    <i r="3">
      <x v="13"/>
    </i>
    <i r="3">
      <x v="14"/>
    </i>
    <i r="2">
      <x v="7"/>
      <x v="15"/>
    </i>
    <i r="2">
      <x v="16"/>
      <x v="66"/>
    </i>
    <i r="1">
      <x v="3"/>
      <x v="13"/>
      <x v="55"/>
    </i>
    <i r="2">
      <x v="14"/>
      <x v="56"/>
    </i>
    <i r="2">
      <x v="15"/>
      <x v="57"/>
    </i>
    <i r="3">
      <x v="58"/>
    </i>
    <i r="3">
      <x v="59"/>
    </i>
    <i r="3">
      <x v="62"/>
    </i>
    <i r="1">
      <x v="4"/>
      <x v="9"/>
      <x v="27"/>
    </i>
    <i r="2">
      <x v="10"/>
      <x v="28"/>
    </i>
    <i r="3">
      <x v="29"/>
    </i>
    <i r="3">
      <x v="30"/>
    </i>
    <i r="3">
      <x v="31"/>
    </i>
    <i r="3">
      <x v="32"/>
    </i>
    <i r="3">
      <x v="33"/>
    </i>
    <i r="3">
      <x v="34"/>
    </i>
    <i r="2">
      <x v="11"/>
      <x v="42"/>
    </i>
    <i r="1">
      <x v="5"/>
      <x v="7"/>
      <x v="38"/>
    </i>
    <i r="3">
      <x v="39"/>
    </i>
    <i r="3">
      <x v="40"/>
    </i>
    <i r="3">
      <x v="41"/>
    </i>
    <i r="2">
      <x v="12"/>
      <x v="43"/>
    </i>
    <i r="3">
      <x v="44"/>
    </i>
    <i r="3">
      <x v="46"/>
    </i>
    <i r="3">
      <x v="47"/>
    </i>
    <i r="3">
      <x v="48"/>
    </i>
    <i r="3">
      <x v="49"/>
    </i>
    <i r="3">
      <x v="50"/>
    </i>
    <i r="3">
      <x v="52"/>
    </i>
    <i r="3">
      <x v="53"/>
    </i>
    <i r="3">
      <x v="54"/>
    </i>
    <i r="2">
      <x v="17"/>
      <x v="67"/>
    </i>
    <i r="2">
      <x v="18"/>
      <x v="68"/>
    </i>
    <i r="3">
      <x v="69"/>
    </i>
    <i r="3">
      <x v="70"/>
    </i>
    <i>
      <x v="2"/>
      <x v="3"/>
      <x v="8"/>
      <x v="16"/>
    </i>
    <i r="3">
      <x v="17"/>
    </i>
    <i r="3">
      <x v="18"/>
    </i>
    <i r="3">
      <x v="19"/>
    </i>
    <i r="3">
      <x v="20"/>
    </i>
    <i r="3">
      <x v="21"/>
    </i>
    <i r="3">
      <x v="22"/>
    </i>
    <i r="3">
      <x v="23"/>
    </i>
    <i r="3">
      <x v="24"/>
    </i>
    <i r="3">
      <x v="25"/>
    </i>
    <i r="3">
      <x v="2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3" cacheId="3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F4:G59" firstHeaderRow="1" firstDataRow="1" firstDataCol="2" rowPageCount="2" colPageCount="1"/>
  <pivotFields count="14">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5"/>
        <item x="2"/>
        <item x="3"/>
        <item x="1"/>
        <item x="4"/>
      </items>
    </pivotField>
    <pivotField compact="0" outline="0" showAll="0" defaultSubtotal="0"/>
    <pivotField compact="0" outline="0" showAll="0" defaultSubtotal="0"/>
    <pivotField axis="axisPage" compact="0" outline="0" showAll="0" defaultSubtotal="0">
      <items count="1">
        <item x="0"/>
      </items>
    </pivotField>
    <pivotField axis="axisPage" compact="0" outline="0" showAll="0" defaultSubtotal="0">
      <items count="1">
        <item x="0"/>
      </items>
    </pivotField>
    <pivotField compact="0" outline="0" showAll="0" defaultSubtotal="0"/>
    <pivotField compact="0" outline="0" showAll="0" defaultSubtotal="0"/>
    <pivotField axis="axisRow" compact="0" outline="0" showAll="0" defaultSubtotal="0">
      <items count="71">
        <item x="54"/>
        <item x="3"/>
        <item x="2"/>
        <item x="1"/>
        <item x="0"/>
        <item m="1" x="65"/>
        <item m="1" x="66"/>
        <item m="1" x="67"/>
        <item m="1" x="68"/>
        <item m="1" x="69"/>
        <item m="1" x="70"/>
        <item x="4"/>
        <item x="5"/>
        <item x="6"/>
        <item x="7"/>
        <item x="8"/>
        <item x="9"/>
        <item x="10"/>
        <item x="11"/>
        <item x="12"/>
        <item x="13"/>
        <item x="14"/>
        <item x="15"/>
        <item x="16"/>
        <item x="17"/>
        <item x="18"/>
        <item x="19"/>
        <item x="20"/>
        <item x="21"/>
        <item x="22"/>
        <item x="23"/>
        <item x="24"/>
        <item x="25"/>
        <item x="26"/>
        <item x="27"/>
        <item m="1" x="55"/>
        <item m="1" x="56"/>
        <item m="1" x="57"/>
        <item x="28"/>
        <item x="29"/>
        <item x="30"/>
        <item x="31"/>
        <item x="32"/>
        <item x="33"/>
        <item x="34"/>
        <item m="1" x="58"/>
        <item x="35"/>
        <item x="36"/>
        <item x="37"/>
        <item x="38"/>
        <item x="39"/>
        <item m="1" x="59"/>
        <item x="40"/>
        <item x="41"/>
        <item x="42"/>
        <item x="43"/>
        <item x="44"/>
        <item x="45"/>
        <item x="46"/>
        <item x="47"/>
        <item m="1" x="60"/>
        <item m="1" x="61"/>
        <item x="48"/>
        <item m="1" x="62"/>
        <item m="1" x="63"/>
        <item m="1" x="64"/>
        <item x="49"/>
        <item x="50"/>
        <item x="51"/>
        <item x="52"/>
        <item x="53"/>
      </items>
    </pivotField>
    <pivotField compact="0" outline="0" showAll="0" defaultSubtotal="0"/>
  </pivotFields>
  <rowFields count="2">
    <field x="5"/>
    <field x="12"/>
  </rowFields>
  <rowItems count="55">
    <i>
      <x/>
      <x v="1"/>
    </i>
    <i r="1">
      <x v="2"/>
    </i>
    <i r="1">
      <x v="3"/>
    </i>
    <i r="1">
      <x v="4"/>
    </i>
    <i r="1">
      <x v="15"/>
    </i>
    <i r="1">
      <x v="18"/>
    </i>
    <i r="1">
      <x v="19"/>
    </i>
    <i r="1">
      <x v="29"/>
    </i>
    <i r="1">
      <x v="30"/>
    </i>
    <i r="1">
      <x v="34"/>
    </i>
    <i r="1">
      <x v="38"/>
    </i>
    <i r="1">
      <x v="39"/>
    </i>
    <i r="1">
      <x v="40"/>
    </i>
    <i r="1">
      <x v="41"/>
    </i>
    <i r="1">
      <x v="43"/>
    </i>
    <i r="1">
      <x v="44"/>
    </i>
    <i r="1">
      <x v="46"/>
    </i>
    <i r="1">
      <x v="59"/>
    </i>
    <i r="1">
      <x v="66"/>
    </i>
    <i r="1">
      <x v="67"/>
    </i>
    <i r="1">
      <x v="70"/>
    </i>
    <i>
      <x v="1"/>
      <x/>
    </i>
    <i>
      <x v="2"/>
      <x v="16"/>
    </i>
    <i r="1">
      <x v="28"/>
    </i>
    <i r="1">
      <x v="31"/>
    </i>
    <i r="1">
      <x v="42"/>
    </i>
    <i r="1">
      <x v="55"/>
    </i>
    <i>
      <x v="3"/>
      <x v="20"/>
    </i>
    <i r="1">
      <x v="21"/>
    </i>
    <i r="1">
      <x v="22"/>
    </i>
    <i r="1">
      <x v="24"/>
    </i>
    <i r="1">
      <x v="25"/>
    </i>
    <i r="1">
      <x v="26"/>
    </i>
    <i r="1">
      <x v="32"/>
    </i>
    <i r="1">
      <x v="33"/>
    </i>
    <i r="1">
      <x v="50"/>
    </i>
    <i r="1">
      <x v="52"/>
    </i>
    <i r="1">
      <x v="53"/>
    </i>
    <i r="1">
      <x v="54"/>
    </i>
    <i r="1">
      <x v="56"/>
    </i>
    <i r="1">
      <x v="57"/>
    </i>
    <i r="1">
      <x v="58"/>
    </i>
    <i r="1">
      <x v="68"/>
    </i>
    <i r="1">
      <x v="69"/>
    </i>
    <i>
      <x v="4"/>
      <x v="11"/>
    </i>
    <i r="1">
      <x v="12"/>
    </i>
    <i r="1">
      <x v="13"/>
    </i>
    <i r="1">
      <x v="14"/>
    </i>
    <i r="1">
      <x v="17"/>
    </i>
    <i r="1">
      <x v="62"/>
    </i>
    <i>
      <x v="5"/>
      <x v="23"/>
    </i>
    <i r="1">
      <x v="27"/>
    </i>
    <i r="1">
      <x v="47"/>
    </i>
    <i r="1">
      <x v="48"/>
    </i>
    <i r="1">
      <x v="49"/>
    </i>
  </rowItems>
  <colItems count="1">
    <i/>
  </colItems>
  <pageFields count="2">
    <pageField fld="9" hier="-1"/>
    <pageField fld="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3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A4:B59" firstHeaderRow="1" firstDataRow="1" firstDataCol="2" rowPageCount="2" colPageCount="1"/>
  <pivotFields count="14">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5"/>
        <item x="2"/>
        <item x="3"/>
        <item x="1"/>
        <item x="4"/>
      </items>
    </pivotField>
    <pivotField compact="0" outline="0" showAll="0" defaultSubtotal="0"/>
    <pivotField compact="0" outline="0" showAll="0" defaultSubtotal="0"/>
    <pivotField axis="axisPage" compact="0" outline="0" showAll="0" defaultSubtotal="0">
      <items count="1">
        <item x="0"/>
      </items>
    </pivotField>
    <pivotField axis="axisPage" compact="0" outline="0" showAll="0" defaultSubtotal="0">
      <items count="1">
        <item x="0"/>
      </items>
    </pivotField>
    <pivotField compact="0" outline="0" showAll="0" defaultSubtotal="0"/>
    <pivotField compact="0" outline="0" showAll="0" defaultSubtotal="0"/>
    <pivotField axis="axisRow" compact="0" outline="0" showAll="0" defaultSubtotal="0">
      <items count="71">
        <item x="54"/>
        <item x="3"/>
        <item x="2"/>
        <item x="1"/>
        <item x="0"/>
        <item m="1" x="65"/>
        <item m="1" x="66"/>
        <item m="1" x="67"/>
        <item m="1" x="68"/>
        <item m="1" x="69"/>
        <item m="1" x="70"/>
        <item x="4"/>
        <item x="5"/>
        <item x="6"/>
        <item x="7"/>
        <item x="8"/>
        <item x="9"/>
        <item x="10"/>
        <item x="11"/>
        <item x="12"/>
        <item x="13"/>
        <item x="14"/>
        <item x="15"/>
        <item x="16"/>
        <item x="17"/>
        <item x="18"/>
        <item x="19"/>
        <item x="20"/>
        <item x="21"/>
        <item x="22"/>
        <item x="23"/>
        <item x="24"/>
        <item x="25"/>
        <item x="26"/>
        <item x="27"/>
        <item m="1" x="55"/>
        <item m="1" x="56"/>
        <item m="1" x="57"/>
        <item x="28"/>
        <item x="29"/>
        <item x="30"/>
        <item x="31"/>
        <item x="32"/>
        <item x="33"/>
        <item x="34"/>
        <item m="1" x="58"/>
        <item x="35"/>
        <item x="36"/>
        <item x="37"/>
        <item x="38"/>
        <item x="39"/>
        <item m="1" x="59"/>
        <item x="40"/>
        <item x="41"/>
        <item x="42"/>
        <item x="43"/>
        <item x="44"/>
        <item x="45"/>
        <item x="46"/>
        <item x="47"/>
        <item m="1" x="60"/>
        <item m="1" x="61"/>
        <item x="48"/>
        <item m="1" x="62"/>
        <item m="1" x="63"/>
        <item m="1" x="64"/>
        <item x="49"/>
        <item x="50"/>
        <item x="51"/>
        <item x="52"/>
        <item x="53"/>
      </items>
    </pivotField>
    <pivotField compact="0" outline="0" showAll="0" defaultSubtotal="0"/>
  </pivotFields>
  <rowFields count="2">
    <field x="5"/>
    <field x="12"/>
  </rowFields>
  <rowItems count="55">
    <i>
      <x/>
      <x v="1"/>
    </i>
    <i r="1">
      <x v="2"/>
    </i>
    <i r="1">
      <x v="3"/>
    </i>
    <i r="1">
      <x v="4"/>
    </i>
    <i r="1">
      <x v="15"/>
    </i>
    <i r="1">
      <x v="18"/>
    </i>
    <i r="1">
      <x v="19"/>
    </i>
    <i r="1">
      <x v="29"/>
    </i>
    <i r="1">
      <x v="30"/>
    </i>
    <i r="1">
      <x v="34"/>
    </i>
    <i r="1">
      <x v="38"/>
    </i>
    <i r="1">
      <x v="39"/>
    </i>
    <i r="1">
      <x v="40"/>
    </i>
    <i r="1">
      <x v="41"/>
    </i>
    <i r="1">
      <x v="43"/>
    </i>
    <i r="1">
      <x v="44"/>
    </i>
    <i r="1">
      <x v="46"/>
    </i>
    <i r="1">
      <x v="59"/>
    </i>
    <i r="1">
      <x v="66"/>
    </i>
    <i r="1">
      <x v="67"/>
    </i>
    <i r="1">
      <x v="70"/>
    </i>
    <i>
      <x v="1"/>
      <x/>
    </i>
    <i>
      <x v="2"/>
      <x v="16"/>
    </i>
    <i r="1">
      <x v="28"/>
    </i>
    <i r="1">
      <x v="31"/>
    </i>
    <i r="1">
      <x v="42"/>
    </i>
    <i r="1">
      <x v="55"/>
    </i>
    <i>
      <x v="3"/>
      <x v="20"/>
    </i>
    <i r="1">
      <x v="21"/>
    </i>
    <i r="1">
      <x v="22"/>
    </i>
    <i r="1">
      <x v="24"/>
    </i>
    <i r="1">
      <x v="25"/>
    </i>
    <i r="1">
      <x v="26"/>
    </i>
    <i r="1">
      <x v="32"/>
    </i>
    <i r="1">
      <x v="33"/>
    </i>
    <i r="1">
      <x v="50"/>
    </i>
    <i r="1">
      <x v="52"/>
    </i>
    <i r="1">
      <x v="53"/>
    </i>
    <i r="1">
      <x v="54"/>
    </i>
    <i r="1">
      <x v="56"/>
    </i>
    <i r="1">
      <x v="57"/>
    </i>
    <i r="1">
      <x v="58"/>
    </i>
    <i r="1">
      <x v="68"/>
    </i>
    <i r="1">
      <x v="69"/>
    </i>
    <i>
      <x v="4"/>
      <x v="11"/>
    </i>
    <i r="1">
      <x v="12"/>
    </i>
    <i r="1">
      <x v="13"/>
    </i>
    <i r="1">
      <x v="14"/>
    </i>
    <i r="1">
      <x v="17"/>
    </i>
    <i r="1">
      <x v="62"/>
    </i>
    <i>
      <x v="5"/>
      <x v="23"/>
    </i>
    <i r="1">
      <x v="27"/>
    </i>
    <i r="1">
      <x v="47"/>
    </i>
    <i r="1">
      <x v="48"/>
    </i>
    <i r="1">
      <x v="49"/>
    </i>
  </rowItems>
  <colItems count="1">
    <i/>
  </colItems>
  <pageFields count="2">
    <pageField fld="9" hier="-1"/>
    <pageField fld="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B2:M27"/>
  <sheetViews>
    <sheetView showGridLines="0" zoomScaleNormal="100" workbookViewId="0">
      <selection activeCell="B22" sqref="B22"/>
    </sheetView>
  </sheetViews>
  <sheetFormatPr defaultColWidth="8.77734375" defaultRowHeight="14.4" x14ac:dyDescent="0.3"/>
  <cols>
    <col min="1" max="1" width="8.77734375" style="45"/>
    <col min="2" max="2" width="104.21875" style="45" customWidth="1"/>
    <col min="3" max="3" width="10.21875" style="45" bestFit="1" customWidth="1"/>
    <col min="4" max="4" width="8.21875" style="45" bestFit="1" customWidth="1"/>
    <col min="5" max="5" width="14" style="45" bestFit="1" customWidth="1"/>
    <col min="6" max="16384" width="8.77734375" style="45"/>
  </cols>
  <sheetData>
    <row r="2" spans="2:13" ht="31.2" x14ac:dyDescent="0.3">
      <c r="B2" s="48" t="s">
        <v>491</v>
      </c>
    </row>
    <row r="3" spans="2:13" ht="28.8" x14ac:dyDescent="0.3">
      <c r="B3" s="47" t="s">
        <v>493</v>
      </c>
    </row>
    <row r="4" spans="2:13" ht="15" thickBot="1" x14ac:dyDescent="0.35"/>
    <row r="5" spans="2:13" ht="15" thickBot="1" x14ac:dyDescent="0.35">
      <c r="B5" s="59" t="s">
        <v>482</v>
      </c>
    </row>
    <row r="6" spans="2:13" ht="58.2" thickBot="1" x14ac:dyDescent="0.35">
      <c r="B6" s="58" t="s">
        <v>499</v>
      </c>
    </row>
    <row r="7" spans="2:13" ht="15" thickBot="1" x14ac:dyDescent="0.35">
      <c r="B7" s="46"/>
      <c r="G7"/>
      <c r="H7"/>
      <c r="I7"/>
      <c r="J7"/>
      <c r="K7"/>
      <c r="L7"/>
      <c r="M7"/>
    </row>
    <row r="8" spans="2:13" ht="15" thickBot="1" x14ac:dyDescent="0.35">
      <c r="B8" s="63" t="s">
        <v>490</v>
      </c>
      <c r="G8"/>
      <c r="H8"/>
      <c r="I8"/>
      <c r="J8"/>
      <c r="K8"/>
      <c r="L8"/>
      <c r="M8"/>
    </row>
    <row r="9" spans="2:13" x14ac:dyDescent="0.3">
      <c r="B9" s="60" t="s">
        <v>481</v>
      </c>
    </row>
    <row r="10" spans="2:13" ht="72" x14ac:dyDescent="0.3">
      <c r="B10" s="61" t="s">
        <v>498</v>
      </c>
    </row>
    <row r="11" spans="2:13" x14ac:dyDescent="0.3">
      <c r="B11" s="60" t="s">
        <v>487</v>
      </c>
    </row>
    <row r="12" spans="2:13" ht="144" x14ac:dyDescent="0.3">
      <c r="B12" s="61" t="s">
        <v>509</v>
      </c>
    </row>
    <row r="13" spans="2:13" x14ac:dyDescent="0.3">
      <c r="B13" s="60" t="s">
        <v>483</v>
      </c>
    </row>
    <row r="14" spans="2:13" ht="28.8" x14ac:dyDescent="0.3">
      <c r="B14" s="61" t="s">
        <v>494</v>
      </c>
    </row>
    <row r="15" spans="2:13" x14ac:dyDescent="0.3">
      <c r="B15" s="60" t="s">
        <v>484</v>
      </c>
    </row>
    <row r="16" spans="2:13" ht="15" thickBot="1" x14ac:dyDescent="0.35">
      <c r="B16" s="62" t="s">
        <v>488</v>
      </c>
    </row>
    <row r="17" spans="2:5" ht="15" thickBot="1" x14ac:dyDescent="0.35">
      <c r="B17" s="46"/>
    </row>
    <row r="18" spans="2:5" ht="15" thickBot="1" x14ac:dyDescent="0.35">
      <c r="B18" s="64" t="s">
        <v>489</v>
      </c>
    </row>
    <row r="19" spans="2:5" x14ac:dyDescent="0.3">
      <c r="B19" s="65" t="s">
        <v>485</v>
      </c>
    </row>
    <row r="20" spans="2:5" ht="30" customHeight="1" x14ac:dyDescent="0.3">
      <c r="B20" s="71" t="s">
        <v>495</v>
      </c>
    </row>
    <row r="21" spans="2:5" x14ac:dyDescent="0.3">
      <c r="B21" s="65" t="s">
        <v>486</v>
      </c>
    </row>
    <row r="22" spans="2:5" ht="58.2" thickBot="1" x14ac:dyDescent="0.35">
      <c r="B22" s="66" t="s">
        <v>496</v>
      </c>
    </row>
    <row r="24" spans="2:5" ht="15" thickBot="1" x14ac:dyDescent="0.35"/>
    <row r="25" spans="2:5" x14ac:dyDescent="0.3">
      <c r="C25" s="55" t="s">
        <v>0</v>
      </c>
      <c r="D25" s="56" t="s">
        <v>1</v>
      </c>
      <c r="E25" s="57" t="s">
        <v>2</v>
      </c>
    </row>
    <row r="26" spans="2:5" x14ac:dyDescent="0.3">
      <c r="C26" s="50">
        <v>1</v>
      </c>
      <c r="D26" s="49">
        <v>42979</v>
      </c>
      <c r="E26" s="51" t="s">
        <v>3</v>
      </c>
    </row>
    <row r="27" spans="2:5" ht="15" thickBot="1" x14ac:dyDescent="0.35">
      <c r="C27" s="52">
        <v>2</v>
      </c>
      <c r="D27" s="53">
        <v>43374</v>
      </c>
      <c r="E27" s="54" t="s">
        <v>362</v>
      </c>
    </row>
  </sheetData>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499984740745262"/>
  </sheetPr>
  <dimension ref="A1:J743"/>
  <sheetViews>
    <sheetView showGridLines="0" zoomScale="90" zoomScaleNormal="90" zoomScalePageLayoutView="98" workbookViewId="0">
      <pane ySplit="1" topLeftCell="A2" activePane="bottomLeft" state="frozen"/>
      <selection activeCell="A103" sqref="A103"/>
      <selection pane="bottomLeft" activeCell="A5" sqref="A5"/>
    </sheetView>
  </sheetViews>
  <sheetFormatPr defaultColWidth="15.77734375" defaultRowHeight="14.4" x14ac:dyDescent="0.3"/>
  <cols>
    <col min="1" max="1" width="42" style="17" customWidth="1"/>
    <col min="2" max="2" width="14.77734375" style="18" customWidth="1"/>
    <col min="3" max="3" width="23" style="19" customWidth="1"/>
    <col min="4" max="4" width="22.77734375" style="19" customWidth="1"/>
    <col min="5" max="5" width="18.77734375" style="19" customWidth="1"/>
    <col min="6" max="6" width="16.77734375" style="19" customWidth="1"/>
    <col min="7" max="7" width="15.77734375" style="19" customWidth="1"/>
    <col min="8" max="16384" width="15.77734375" style="20"/>
  </cols>
  <sheetData>
    <row r="1" spans="1:7" s="16" customFormat="1" x14ac:dyDescent="0.3">
      <c r="A1" s="15" t="s">
        <v>6</v>
      </c>
      <c r="B1" s="15" t="s">
        <v>7</v>
      </c>
      <c r="C1" s="15" t="s">
        <v>8</v>
      </c>
      <c r="D1" s="15" t="s">
        <v>9</v>
      </c>
      <c r="E1" s="15" t="s">
        <v>10</v>
      </c>
      <c r="F1" s="15" t="s">
        <v>11</v>
      </c>
      <c r="G1" s="15" t="s">
        <v>12</v>
      </c>
    </row>
    <row r="2" spans="1:7" x14ac:dyDescent="0.3">
      <c r="A2" s="17" t="str">
        <f t="shared" ref="A2:A65" si="0">CONCATENATE(B2,"/",C2)</f>
        <v>0. Autre/Sucre</v>
      </c>
      <c r="B2" s="28" t="s">
        <v>341</v>
      </c>
      <c r="C2" s="19" t="s">
        <v>201</v>
      </c>
      <c r="D2" s="19" t="s">
        <v>201</v>
      </c>
      <c r="E2" s="19" t="s">
        <v>24</v>
      </c>
      <c r="F2" s="31">
        <v>1.0309278350515464E-2</v>
      </c>
      <c r="G2" s="19" t="s">
        <v>342</v>
      </c>
    </row>
    <row r="3" spans="1:7" x14ac:dyDescent="0.3">
      <c r="A3" s="17" t="str">
        <f t="shared" si="0"/>
        <v>0. Autre/Sel</v>
      </c>
      <c r="B3" s="28" t="s">
        <v>341</v>
      </c>
      <c r="C3" s="19" t="s">
        <v>258</v>
      </c>
      <c r="D3" s="19" t="s">
        <v>258</v>
      </c>
      <c r="E3" s="19" t="s">
        <v>24</v>
      </c>
      <c r="F3" s="31">
        <v>1.0309278350515464E-2</v>
      </c>
      <c r="G3" s="19" t="s">
        <v>342</v>
      </c>
    </row>
    <row r="4" spans="1:7" x14ac:dyDescent="0.3">
      <c r="A4" s="17" t="str">
        <f t="shared" si="0"/>
        <v>0. Autre/Poivre</v>
      </c>
      <c r="B4" s="28" t="s">
        <v>341</v>
      </c>
      <c r="C4" s="19" t="s">
        <v>343</v>
      </c>
      <c r="D4" s="19" t="s">
        <v>343</v>
      </c>
      <c r="E4" s="19" t="s">
        <v>24</v>
      </c>
      <c r="F4" s="31">
        <v>1.0309278350515464E-2</v>
      </c>
      <c r="G4" s="19" t="s">
        <v>342</v>
      </c>
    </row>
    <row r="5" spans="1:7" x14ac:dyDescent="0.3">
      <c r="A5" s="17" t="str">
        <f t="shared" si="0"/>
        <v>0. Autre/Café instantané</v>
      </c>
      <c r="B5" s="28" t="s">
        <v>341</v>
      </c>
      <c r="C5" s="19" t="s">
        <v>344</v>
      </c>
      <c r="D5" s="19" t="s">
        <v>344</v>
      </c>
      <c r="E5" s="19" t="s">
        <v>24</v>
      </c>
      <c r="F5" s="31">
        <v>1.0309278350515464E-2</v>
      </c>
      <c r="G5" s="19" t="s">
        <v>342</v>
      </c>
    </row>
    <row r="6" spans="1:7" x14ac:dyDescent="0.3">
      <c r="A6" s="17" t="str">
        <f t="shared" si="0"/>
        <v>1. Déjeuner/Yogourt Grec</v>
      </c>
      <c r="B6" s="28" t="s">
        <v>41</v>
      </c>
      <c r="C6" s="19" t="s">
        <v>290</v>
      </c>
      <c r="D6" s="19" t="s">
        <v>291</v>
      </c>
      <c r="E6" s="19" t="s">
        <v>14</v>
      </c>
      <c r="F6" s="31">
        <v>1</v>
      </c>
      <c r="G6" s="19" t="s">
        <v>18</v>
      </c>
    </row>
    <row r="7" spans="1:7" x14ac:dyDescent="0.3">
      <c r="A7" s="17" t="str">
        <f t="shared" si="0"/>
        <v>1. Déjeuner/Toasts et confiture</v>
      </c>
      <c r="B7" s="28" t="s">
        <v>41</v>
      </c>
      <c r="C7" s="19" t="s">
        <v>311</v>
      </c>
      <c r="D7" s="19" t="s">
        <v>38</v>
      </c>
      <c r="E7" s="19" t="s">
        <v>14</v>
      </c>
      <c r="F7" s="31">
        <v>2</v>
      </c>
      <c r="G7" s="19" t="s">
        <v>83</v>
      </c>
    </row>
    <row r="8" spans="1:7" x14ac:dyDescent="0.3">
      <c r="A8" s="17" t="str">
        <f t="shared" si="0"/>
        <v>1. Déjeuner/Toasts et confiture</v>
      </c>
      <c r="B8" s="28" t="s">
        <v>41</v>
      </c>
      <c r="C8" s="19" t="s">
        <v>311</v>
      </c>
      <c r="D8" s="19" t="s">
        <v>312</v>
      </c>
      <c r="E8" s="19" t="s">
        <v>24</v>
      </c>
      <c r="F8" s="31">
        <v>1.0309278350515464E-2</v>
      </c>
      <c r="G8" s="19" t="s">
        <v>313</v>
      </c>
    </row>
    <row r="9" spans="1:7" x14ac:dyDescent="0.3">
      <c r="A9" s="17" t="str">
        <f t="shared" si="0"/>
        <v>1. Déjeuner/Toasts</v>
      </c>
      <c r="B9" s="28" t="s">
        <v>41</v>
      </c>
      <c r="C9" s="19" t="s">
        <v>38</v>
      </c>
      <c r="D9" s="19" t="s">
        <v>38</v>
      </c>
      <c r="E9" s="19" t="s">
        <v>19</v>
      </c>
      <c r="F9" s="31">
        <v>3</v>
      </c>
      <c r="G9" s="19" t="s">
        <v>18</v>
      </c>
    </row>
    <row r="10" spans="1:7" x14ac:dyDescent="0.3">
      <c r="A10" s="17" t="str">
        <f t="shared" si="0"/>
        <v>1. Déjeuner/Toasts</v>
      </c>
      <c r="B10" s="28" t="s">
        <v>41</v>
      </c>
      <c r="C10" s="19" t="s">
        <v>38</v>
      </c>
      <c r="D10" s="19" t="s">
        <v>39</v>
      </c>
      <c r="E10" s="19" t="s">
        <v>24</v>
      </c>
      <c r="F10" s="31">
        <v>20</v>
      </c>
      <c r="G10" s="19" t="s">
        <v>15</v>
      </c>
    </row>
    <row r="11" spans="1:7" x14ac:dyDescent="0.3">
      <c r="A11" s="17" t="str">
        <f t="shared" si="0"/>
        <v>1. Déjeuner/Toasts</v>
      </c>
      <c r="B11" s="28" t="s">
        <v>41</v>
      </c>
      <c r="C11" s="19" t="s">
        <v>38</v>
      </c>
      <c r="D11" s="19" t="s">
        <v>40</v>
      </c>
      <c r="E11" s="19" t="s">
        <v>24</v>
      </c>
      <c r="F11" s="31">
        <v>20</v>
      </c>
      <c r="G11" s="19" t="s">
        <v>15</v>
      </c>
    </row>
    <row r="12" spans="1:7" x14ac:dyDescent="0.3">
      <c r="A12" s="17" t="str">
        <f t="shared" si="0"/>
        <v>1. Déjeuner/Toasts</v>
      </c>
      <c r="B12" s="28" t="s">
        <v>41</v>
      </c>
      <c r="C12" s="19" t="s">
        <v>38</v>
      </c>
      <c r="D12" s="19" t="s">
        <v>312</v>
      </c>
      <c r="E12" s="19" t="s">
        <v>24</v>
      </c>
      <c r="F12" s="31">
        <v>20</v>
      </c>
      <c r="G12" s="19" t="s">
        <v>15</v>
      </c>
    </row>
    <row r="13" spans="1:7" x14ac:dyDescent="0.3">
      <c r="A13" s="17" t="str">
        <f t="shared" si="0"/>
        <v>1. Déjeuner/Toasts</v>
      </c>
      <c r="B13" s="28" t="s">
        <v>41</v>
      </c>
      <c r="C13" s="19" t="s">
        <v>38</v>
      </c>
      <c r="D13" s="19" t="s">
        <v>169</v>
      </c>
      <c r="E13" s="19" t="s">
        <v>26</v>
      </c>
      <c r="F13" s="31" t="s">
        <v>431</v>
      </c>
      <c r="G13" s="19" t="s">
        <v>18</v>
      </c>
    </row>
    <row r="14" spans="1:7" x14ac:dyDescent="0.3">
      <c r="A14" s="17" t="str">
        <f t="shared" si="0"/>
        <v>1. Déjeuner/Toast/gaufre nutella/peanut</v>
      </c>
      <c r="B14" s="28" t="s">
        <v>41</v>
      </c>
      <c r="C14" s="19" t="s">
        <v>465</v>
      </c>
      <c r="D14" s="19" t="s">
        <v>38</v>
      </c>
      <c r="E14" s="19" t="s">
        <v>19</v>
      </c>
      <c r="F14" s="31">
        <v>1</v>
      </c>
      <c r="G14" s="19" t="s">
        <v>18</v>
      </c>
    </row>
    <row r="15" spans="1:7" x14ac:dyDescent="0.3">
      <c r="A15" s="17" t="str">
        <f t="shared" si="0"/>
        <v>1. Déjeuner/Toast/gaufre nutella/peanut</v>
      </c>
      <c r="B15" s="28" t="s">
        <v>41</v>
      </c>
      <c r="C15" s="19" t="s">
        <v>465</v>
      </c>
      <c r="D15" s="19" t="s">
        <v>39</v>
      </c>
      <c r="E15" s="19" t="s">
        <v>24</v>
      </c>
      <c r="F15" s="31">
        <v>20</v>
      </c>
      <c r="G15" s="19" t="s">
        <v>15</v>
      </c>
    </row>
    <row r="16" spans="1:7" x14ac:dyDescent="0.3">
      <c r="A16" s="17" t="str">
        <f t="shared" si="0"/>
        <v>1. Déjeuner/Toast/gaufre nutella/peanut</v>
      </c>
      <c r="B16" s="28" t="s">
        <v>41</v>
      </c>
      <c r="C16" s="19" t="s">
        <v>465</v>
      </c>
      <c r="D16" s="19" t="s">
        <v>40</v>
      </c>
      <c r="E16" s="19" t="s">
        <v>24</v>
      </c>
      <c r="F16" s="31">
        <v>20</v>
      </c>
      <c r="G16" s="19" t="s">
        <v>15</v>
      </c>
    </row>
    <row r="17" spans="1:7" x14ac:dyDescent="0.3">
      <c r="A17" s="17" t="str">
        <f t="shared" si="0"/>
        <v>1. Déjeuner/Toast/gaufre nutella/peanut</v>
      </c>
      <c r="B17" s="28" t="s">
        <v>41</v>
      </c>
      <c r="C17" s="19" t="s">
        <v>465</v>
      </c>
      <c r="D17" s="19" t="s">
        <v>466</v>
      </c>
      <c r="E17" s="19" t="s">
        <v>19</v>
      </c>
      <c r="F17" s="31">
        <v>1</v>
      </c>
      <c r="G17" s="19" t="s">
        <v>18</v>
      </c>
    </row>
    <row r="18" spans="1:7" x14ac:dyDescent="0.3">
      <c r="A18" s="17" t="str">
        <f t="shared" si="0"/>
        <v>1. Déjeuner/Toast/gaufre nutella/peanut</v>
      </c>
      <c r="B18" s="28" t="s">
        <v>41</v>
      </c>
      <c r="C18" s="19" t="s">
        <v>465</v>
      </c>
      <c r="D18" s="19" t="s">
        <v>210</v>
      </c>
      <c r="E18" s="19" t="s">
        <v>26</v>
      </c>
      <c r="F18" s="31" t="s">
        <v>431</v>
      </c>
      <c r="G18" s="19" t="s">
        <v>18</v>
      </c>
    </row>
    <row r="19" spans="1:7" x14ac:dyDescent="0.3">
      <c r="A19" s="17" t="str">
        <f t="shared" si="0"/>
        <v>1. Déjeuner/Toast/gaufre nutella/peanut</v>
      </c>
      <c r="B19" s="28" t="s">
        <v>41</v>
      </c>
      <c r="C19" s="19" t="s">
        <v>465</v>
      </c>
      <c r="D19" s="19" t="s">
        <v>467</v>
      </c>
      <c r="E19" s="19" t="s">
        <v>26</v>
      </c>
      <c r="F19" s="31">
        <v>4</v>
      </c>
      <c r="G19" s="19" t="s">
        <v>18</v>
      </c>
    </row>
    <row r="20" spans="1:7" x14ac:dyDescent="0.3">
      <c r="A20" s="17" t="str">
        <f t="shared" si="0"/>
        <v>1. Déjeuner/Toast/gaufre nutella/peanut</v>
      </c>
      <c r="B20" s="28" t="s">
        <v>41</v>
      </c>
      <c r="C20" s="19" t="s">
        <v>465</v>
      </c>
      <c r="D20" s="19" t="s">
        <v>167</v>
      </c>
      <c r="E20" s="19" t="s">
        <v>24</v>
      </c>
      <c r="F20" s="31">
        <v>40</v>
      </c>
      <c r="G20" s="19" t="s">
        <v>15</v>
      </c>
    </row>
    <row r="21" spans="1:7" x14ac:dyDescent="0.3">
      <c r="A21" s="17" t="str">
        <f t="shared" si="0"/>
        <v>1. Déjeuner/Toast/gaufre nutella/peanut</v>
      </c>
      <c r="B21" s="28" t="s">
        <v>41</v>
      </c>
      <c r="C21" s="19" t="s">
        <v>465</v>
      </c>
      <c r="D21" s="19" t="s">
        <v>145</v>
      </c>
      <c r="E21" s="19" t="s">
        <v>14</v>
      </c>
      <c r="F21" s="31">
        <v>235</v>
      </c>
      <c r="G21" s="19" t="s">
        <v>15</v>
      </c>
    </row>
    <row r="22" spans="1:7" x14ac:dyDescent="0.3">
      <c r="A22" s="17" t="str">
        <f t="shared" si="0"/>
        <v>1. Déjeuner/Toast/gaufre nutella/peanut</v>
      </c>
      <c r="B22" s="28" t="s">
        <v>41</v>
      </c>
      <c r="C22" s="19" t="s">
        <v>465</v>
      </c>
      <c r="D22" s="19" t="s">
        <v>468</v>
      </c>
      <c r="E22" s="19" t="s">
        <v>19</v>
      </c>
      <c r="F22" s="31">
        <v>40</v>
      </c>
      <c r="G22" s="19" t="s">
        <v>80</v>
      </c>
    </row>
    <row r="23" spans="1:7" x14ac:dyDescent="0.3">
      <c r="A23" s="17" t="str">
        <f t="shared" si="0"/>
        <v>yujuuu/Toast/gaufre nutella/peanut</v>
      </c>
      <c r="B23" s="28" t="s">
        <v>544</v>
      </c>
      <c r="C23" s="19" t="s">
        <v>465</v>
      </c>
      <c r="D23" s="19" t="s">
        <v>287</v>
      </c>
      <c r="E23" s="19" t="s">
        <v>19</v>
      </c>
      <c r="F23" s="31">
        <v>40</v>
      </c>
      <c r="G23" s="19" t="s">
        <v>80</v>
      </c>
    </row>
    <row r="24" spans="1:7" x14ac:dyDescent="0.3">
      <c r="A24" s="17" t="str">
        <f t="shared" si="0"/>
        <v>1. Déjeuner/Toast et Fruits</v>
      </c>
      <c r="B24" s="28" t="s">
        <v>41</v>
      </c>
      <c r="C24" s="19" t="s">
        <v>381</v>
      </c>
      <c r="D24" s="19" t="s">
        <v>382</v>
      </c>
      <c r="E24" s="19" t="s">
        <v>19</v>
      </c>
      <c r="F24" s="31">
        <v>3</v>
      </c>
      <c r="G24" s="19" t="s">
        <v>83</v>
      </c>
    </row>
    <row r="25" spans="1:7" x14ac:dyDescent="0.3">
      <c r="A25" s="17" t="str">
        <f t="shared" si="0"/>
        <v>1. Déjeuner/Toast et Fruits</v>
      </c>
      <c r="B25" s="28" t="s">
        <v>41</v>
      </c>
      <c r="C25" s="19" t="s">
        <v>381</v>
      </c>
      <c r="D25" s="19" t="s">
        <v>40</v>
      </c>
      <c r="E25" s="19" t="s">
        <v>24</v>
      </c>
      <c r="F25" s="31">
        <v>30</v>
      </c>
      <c r="G25" s="19" t="s">
        <v>80</v>
      </c>
    </row>
    <row r="26" spans="1:7" x14ac:dyDescent="0.3">
      <c r="A26" s="17" t="str">
        <f t="shared" si="0"/>
        <v>1. Déjeuner/Toast et Fruits</v>
      </c>
      <c r="B26" s="28" t="s">
        <v>41</v>
      </c>
      <c r="C26" s="19" t="s">
        <v>381</v>
      </c>
      <c r="D26" s="19" t="s">
        <v>383</v>
      </c>
      <c r="E26" s="19" t="s">
        <v>24</v>
      </c>
      <c r="F26" s="31">
        <v>15</v>
      </c>
      <c r="G26" s="19" t="s">
        <v>80</v>
      </c>
    </row>
    <row r="27" spans="1:7" x14ac:dyDescent="0.3">
      <c r="A27" s="17" t="str">
        <f t="shared" si="0"/>
        <v>1. Déjeuner/Toast et Fruits</v>
      </c>
      <c r="B27" s="28" t="s">
        <v>41</v>
      </c>
      <c r="C27" s="19" t="s">
        <v>381</v>
      </c>
      <c r="D27" s="19" t="s">
        <v>169</v>
      </c>
      <c r="E27" s="19" t="s">
        <v>26</v>
      </c>
      <c r="F27" s="31">
        <v>1</v>
      </c>
      <c r="G27" s="19" t="s">
        <v>83</v>
      </c>
    </row>
    <row r="28" spans="1:7" x14ac:dyDescent="0.3">
      <c r="A28" s="17" t="str">
        <f t="shared" si="0"/>
        <v>1. Déjeuner/Thé</v>
      </c>
      <c r="B28" s="28" t="s">
        <v>41</v>
      </c>
      <c r="C28" s="19" t="s">
        <v>238</v>
      </c>
      <c r="D28" s="19" t="s">
        <v>238</v>
      </c>
      <c r="E28" s="19" t="s">
        <v>24</v>
      </c>
      <c r="F28" s="31">
        <v>10</v>
      </c>
      <c r="G28" s="19" t="s">
        <v>470</v>
      </c>
    </row>
    <row r="29" spans="1:7" x14ac:dyDescent="0.3">
      <c r="A29" s="17" t="str">
        <f t="shared" si="0"/>
        <v>1. Déjeuner/Saucisses déjeuner</v>
      </c>
      <c r="B29" s="28" t="s">
        <v>41</v>
      </c>
      <c r="C29" s="19" t="s">
        <v>66</v>
      </c>
      <c r="D29" s="19" t="s">
        <v>66</v>
      </c>
      <c r="E29" s="19" t="s">
        <v>21</v>
      </c>
      <c r="F29" s="31">
        <v>50</v>
      </c>
      <c r="G29" s="19" t="s">
        <v>22</v>
      </c>
    </row>
    <row r="30" spans="1:7" x14ac:dyDescent="0.3">
      <c r="A30" s="17" t="str">
        <f t="shared" si="0"/>
        <v>1. Déjeuner/Sandwich matin</v>
      </c>
      <c r="B30" s="28" t="s">
        <v>41</v>
      </c>
      <c r="C30" s="19" t="s">
        <v>422</v>
      </c>
      <c r="D30" s="19" t="s">
        <v>38</v>
      </c>
      <c r="E30" s="19" t="s">
        <v>19</v>
      </c>
      <c r="F30" s="31">
        <v>3</v>
      </c>
      <c r="G30" s="19" t="s">
        <v>18</v>
      </c>
    </row>
    <row r="31" spans="1:7" x14ac:dyDescent="0.3">
      <c r="A31" s="17" t="str">
        <f t="shared" si="0"/>
        <v>1. Déjeuner/Sandwich matin</v>
      </c>
      <c r="B31" s="28" t="s">
        <v>41</v>
      </c>
      <c r="C31" s="19" t="s">
        <v>422</v>
      </c>
      <c r="D31" s="19" t="s">
        <v>124</v>
      </c>
      <c r="E31" s="19" t="s">
        <v>14</v>
      </c>
      <c r="F31" s="31">
        <v>2</v>
      </c>
      <c r="G31" s="19" t="s">
        <v>18</v>
      </c>
    </row>
    <row r="32" spans="1:7" x14ac:dyDescent="0.3">
      <c r="A32" s="17" t="str">
        <f t="shared" si="0"/>
        <v>1. Déjeuner/Sandwich matin</v>
      </c>
      <c r="B32" s="28" t="s">
        <v>41</v>
      </c>
      <c r="C32" s="19" t="s">
        <v>422</v>
      </c>
      <c r="D32" s="19" t="s">
        <v>230</v>
      </c>
      <c r="E32" s="19" t="s">
        <v>21</v>
      </c>
      <c r="F32" s="31">
        <v>40</v>
      </c>
      <c r="G32" s="19" t="s">
        <v>80</v>
      </c>
    </row>
    <row r="33" spans="1:7" x14ac:dyDescent="0.3">
      <c r="A33" s="17" t="str">
        <f t="shared" si="0"/>
        <v>1. Déjeuner/Sandwich matin</v>
      </c>
      <c r="B33" s="28" t="s">
        <v>41</v>
      </c>
      <c r="C33" s="19" t="s">
        <v>422</v>
      </c>
      <c r="D33" s="19" t="s">
        <v>81</v>
      </c>
      <c r="E33" s="19" t="s">
        <v>423</v>
      </c>
      <c r="F33" s="31">
        <v>20</v>
      </c>
      <c r="G33" s="19" t="s">
        <v>15</v>
      </c>
    </row>
    <row r="34" spans="1:7" x14ac:dyDescent="0.3">
      <c r="A34" s="17" t="str">
        <f t="shared" si="0"/>
        <v>1. Déjeuner/Sandwich matin</v>
      </c>
      <c r="B34" s="28" t="s">
        <v>41</v>
      </c>
      <c r="C34" s="19" t="s">
        <v>422</v>
      </c>
      <c r="D34" s="19" t="s">
        <v>406</v>
      </c>
      <c r="E34" s="19" t="s">
        <v>14</v>
      </c>
      <c r="F34" s="31">
        <v>1</v>
      </c>
      <c r="G34" s="19" t="s">
        <v>18</v>
      </c>
    </row>
    <row r="35" spans="1:7" x14ac:dyDescent="0.3">
      <c r="A35" s="17" t="str">
        <f t="shared" si="0"/>
        <v>1. Déjeuner/Sandwich matin</v>
      </c>
      <c r="B35" s="28" t="s">
        <v>41</v>
      </c>
      <c r="C35" s="19" t="s">
        <v>422</v>
      </c>
      <c r="D35" s="19" t="s">
        <v>252</v>
      </c>
      <c r="E35" s="29" t="s">
        <v>506</v>
      </c>
      <c r="F35" s="31">
        <v>100</v>
      </c>
      <c r="G35" s="19" t="s">
        <v>80</v>
      </c>
    </row>
    <row r="36" spans="1:7" x14ac:dyDescent="0.3">
      <c r="A36" s="17" t="str">
        <f t="shared" si="0"/>
        <v>1. Déjeuner/Pommes</v>
      </c>
      <c r="B36" s="28" t="s">
        <v>41</v>
      </c>
      <c r="C36" s="19" t="s">
        <v>292</v>
      </c>
      <c r="D36" s="19" t="s">
        <v>292</v>
      </c>
      <c r="E36" s="19" t="s">
        <v>26</v>
      </c>
      <c r="F36" s="31">
        <v>0.6</v>
      </c>
      <c r="G36" s="19" t="s">
        <v>18</v>
      </c>
    </row>
    <row r="37" spans="1:7" x14ac:dyDescent="0.3">
      <c r="A37" s="17" t="str">
        <f t="shared" si="0"/>
        <v>1. Déjeuner/Parfait Yogurt et Fruits</v>
      </c>
      <c r="B37" s="28" t="s">
        <v>41</v>
      </c>
      <c r="C37" s="19" t="s">
        <v>116</v>
      </c>
      <c r="D37" s="19" t="s">
        <v>117</v>
      </c>
      <c r="E37" s="19" t="s">
        <v>14</v>
      </c>
      <c r="F37" s="31">
        <v>200</v>
      </c>
      <c r="G37" s="19" t="s">
        <v>15</v>
      </c>
    </row>
    <row r="38" spans="1:7" x14ac:dyDescent="0.3">
      <c r="A38" s="17" t="str">
        <f t="shared" si="0"/>
        <v>1. Déjeuner/Parfait Yogurt et Fruits</v>
      </c>
      <c r="B38" s="28" t="s">
        <v>41</v>
      </c>
      <c r="C38" s="19" t="s">
        <v>116</v>
      </c>
      <c r="D38" s="19" t="s">
        <v>118</v>
      </c>
      <c r="E38" s="19" t="s">
        <v>19</v>
      </c>
      <c r="F38" s="31">
        <v>75</v>
      </c>
      <c r="G38" s="19" t="s">
        <v>15</v>
      </c>
    </row>
    <row r="39" spans="1:7" x14ac:dyDescent="0.3">
      <c r="A39" s="17" t="str">
        <f t="shared" si="0"/>
        <v>1. Déjeuner/Parfait Yogurt et Fruits</v>
      </c>
      <c r="B39" s="28" t="s">
        <v>41</v>
      </c>
      <c r="C39" s="19" t="s">
        <v>116</v>
      </c>
      <c r="D39" s="19" t="s">
        <v>119</v>
      </c>
      <c r="E39" s="19" t="s">
        <v>26</v>
      </c>
      <c r="F39" s="31">
        <v>80</v>
      </c>
      <c r="G39" s="19" t="s">
        <v>15</v>
      </c>
    </row>
    <row r="40" spans="1:7" x14ac:dyDescent="0.3">
      <c r="A40" s="17" t="str">
        <f t="shared" si="0"/>
        <v>1. Déjeuner/Parfait Yogurt et Fruits</v>
      </c>
      <c r="B40" s="28" t="s">
        <v>41</v>
      </c>
      <c r="C40" s="19" t="s">
        <v>116</v>
      </c>
      <c r="D40" s="19" t="s">
        <v>120</v>
      </c>
      <c r="E40" s="19" t="s">
        <v>26</v>
      </c>
      <c r="F40" s="31">
        <v>80</v>
      </c>
      <c r="G40" s="19" t="s">
        <v>15</v>
      </c>
    </row>
    <row r="41" spans="1:7" x14ac:dyDescent="0.3">
      <c r="A41" s="17" t="str">
        <f t="shared" si="0"/>
        <v>1. Déjeuner/Parfait Yogurt et Fruits</v>
      </c>
      <c r="B41" s="28" t="s">
        <v>41</v>
      </c>
      <c r="C41" s="19" t="s">
        <v>116</v>
      </c>
      <c r="D41" s="19" t="s">
        <v>121</v>
      </c>
      <c r="E41" s="19" t="s">
        <v>26</v>
      </c>
      <c r="F41" s="31">
        <v>40</v>
      </c>
      <c r="G41" s="19" t="s">
        <v>15</v>
      </c>
    </row>
    <row r="42" spans="1:7" x14ac:dyDescent="0.3">
      <c r="A42" s="17" t="str">
        <f t="shared" si="0"/>
        <v>1. Déjeuner/Parfait Yogourt et Fruits</v>
      </c>
      <c r="B42" s="28" t="s">
        <v>41</v>
      </c>
      <c r="C42" s="19" t="s">
        <v>449</v>
      </c>
      <c r="D42" s="19" t="s">
        <v>266</v>
      </c>
      <c r="E42" s="19" t="s">
        <v>14</v>
      </c>
      <c r="F42" s="31">
        <v>150</v>
      </c>
      <c r="G42" s="19" t="s">
        <v>15</v>
      </c>
    </row>
    <row r="43" spans="1:7" x14ac:dyDescent="0.3">
      <c r="A43" s="17" t="str">
        <f t="shared" si="0"/>
        <v>1. Déjeuner/Parfait Yogourt et Fruits</v>
      </c>
      <c r="B43" s="28" t="s">
        <v>41</v>
      </c>
      <c r="C43" s="19" t="s">
        <v>449</v>
      </c>
      <c r="D43" s="19" t="s">
        <v>118</v>
      </c>
      <c r="E43" s="19" t="s">
        <v>19</v>
      </c>
      <c r="F43" s="31">
        <v>50</v>
      </c>
      <c r="G43" s="19" t="s">
        <v>80</v>
      </c>
    </row>
    <row r="44" spans="1:7" x14ac:dyDescent="0.3">
      <c r="A44" s="17" t="str">
        <f t="shared" si="0"/>
        <v>1. Déjeuner/Parfait Yogourt et Fruits</v>
      </c>
      <c r="B44" s="28" t="s">
        <v>41</v>
      </c>
      <c r="C44" s="19" t="s">
        <v>449</v>
      </c>
      <c r="D44" s="19" t="s">
        <v>119</v>
      </c>
      <c r="E44" s="19" t="s">
        <v>26</v>
      </c>
      <c r="F44" s="31">
        <v>80</v>
      </c>
      <c r="G44" s="19" t="s">
        <v>15</v>
      </c>
    </row>
    <row r="45" spans="1:7" x14ac:dyDescent="0.3">
      <c r="A45" s="17" t="str">
        <f t="shared" si="0"/>
        <v>1. Déjeuner/Parfait Yogourt et Fruits</v>
      </c>
      <c r="B45" s="28" t="s">
        <v>41</v>
      </c>
      <c r="C45" s="19" t="s">
        <v>449</v>
      </c>
      <c r="D45" s="19" t="s">
        <v>120</v>
      </c>
      <c r="E45" s="19" t="s">
        <v>26</v>
      </c>
      <c r="F45" s="31">
        <v>80</v>
      </c>
      <c r="G45" s="19" t="s">
        <v>15</v>
      </c>
    </row>
    <row r="46" spans="1:7" x14ac:dyDescent="0.3">
      <c r="A46" s="17" t="str">
        <f t="shared" si="0"/>
        <v>1. Déjeuner/Parfait Yogourt et Fruits</v>
      </c>
      <c r="B46" s="28" t="s">
        <v>41</v>
      </c>
      <c r="C46" s="19" t="s">
        <v>449</v>
      </c>
      <c r="D46" s="19" t="s">
        <v>121</v>
      </c>
      <c r="E46" s="19" t="s">
        <v>26</v>
      </c>
      <c r="F46" s="31">
        <v>40</v>
      </c>
      <c r="G46" s="19" t="s">
        <v>15</v>
      </c>
    </row>
    <row r="47" spans="1:7" x14ac:dyDescent="0.3">
      <c r="A47" s="17" t="str">
        <f t="shared" si="0"/>
        <v>1. Déjeuner/Parfait yogourt</v>
      </c>
      <c r="B47" s="28" t="s">
        <v>41</v>
      </c>
      <c r="C47" s="19" t="s">
        <v>327</v>
      </c>
      <c r="D47" s="19" t="s">
        <v>328</v>
      </c>
      <c r="E47" s="19" t="s">
        <v>14</v>
      </c>
      <c r="F47" s="31">
        <v>150</v>
      </c>
      <c r="G47" s="19" t="s">
        <v>15</v>
      </c>
    </row>
    <row r="48" spans="1:7" x14ac:dyDescent="0.3">
      <c r="A48" s="17" t="str">
        <f t="shared" si="0"/>
        <v>1. Déjeuner/Parfait yogourt</v>
      </c>
      <c r="B48" s="28" t="s">
        <v>41</v>
      </c>
      <c r="C48" s="19" t="s">
        <v>327</v>
      </c>
      <c r="D48" s="19" t="s">
        <v>329</v>
      </c>
      <c r="E48" s="19" t="s">
        <v>26</v>
      </c>
      <c r="F48" s="31">
        <v>0.125</v>
      </c>
      <c r="G48" s="19" t="s">
        <v>330</v>
      </c>
    </row>
    <row r="49" spans="1:7" x14ac:dyDescent="0.3">
      <c r="A49" s="17" t="str">
        <f t="shared" si="0"/>
        <v>1. Déjeuner/Parfait yogourt</v>
      </c>
      <c r="B49" s="28" t="s">
        <v>41</v>
      </c>
      <c r="C49" s="19" t="s">
        <v>327</v>
      </c>
      <c r="D49" s="19" t="s">
        <v>331</v>
      </c>
      <c r="E49" s="19" t="s">
        <v>24</v>
      </c>
      <c r="F49" s="31">
        <v>0.02</v>
      </c>
      <c r="G49" s="19" t="s">
        <v>18</v>
      </c>
    </row>
    <row r="50" spans="1:7" x14ac:dyDescent="0.3">
      <c r="A50" s="17" t="str">
        <f t="shared" si="0"/>
        <v>1. Déjeuner/Pancakes</v>
      </c>
      <c r="B50" s="28" t="s">
        <v>41</v>
      </c>
      <c r="C50" s="19" t="s">
        <v>276</v>
      </c>
      <c r="D50" s="19" t="s">
        <v>277</v>
      </c>
      <c r="E50" s="19" t="s">
        <v>24</v>
      </c>
      <c r="F50" s="31">
        <v>0.02</v>
      </c>
      <c r="G50" s="19" t="s">
        <v>146</v>
      </c>
    </row>
    <row r="51" spans="1:7" x14ac:dyDescent="0.3">
      <c r="A51" s="17" t="str">
        <f t="shared" si="0"/>
        <v>1. Déjeuner/Pancakes</v>
      </c>
      <c r="B51" s="28" t="s">
        <v>41</v>
      </c>
      <c r="C51" s="19" t="s">
        <v>276</v>
      </c>
      <c r="D51" s="19" t="s">
        <v>169</v>
      </c>
      <c r="E51" s="19" t="s">
        <v>26</v>
      </c>
      <c r="F51" s="31">
        <v>0.5</v>
      </c>
      <c r="G51" s="19" t="s">
        <v>18</v>
      </c>
    </row>
    <row r="52" spans="1:7" x14ac:dyDescent="0.3">
      <c r="A52" s="17" t="str">
        <f t="shared" si="0"/>
        <v>1. Déjeuner/Pancakes</v>
      </c>
      <c r="B52" s="28" t="s">
        <v>41</v>
      </c>
      <c r="C52" s="19" t="s">
        <v>276</v>
      </c>
      <c r="D52" s="19" t="s">
        <v>40</v>
      </c>
      <c r="E52" s="19" t="s">
        <v>24</v>
      </c>
      <c r="F52" s="31">
        <v>0.06</v>
      </c>
      <c r="G52" s="19" t="s">
        <v>217</v>
      </c>
    </row>
    <row r="53" spans="1:7" x14ac:dyDescent="0.3">
      <c r="A53" s="17" t="str">
        <f t="shared" si="0"/>
        <v>1. Déjeuner/Pancakes</v>
      </c>
      <c r="B53" s="28" t="s">
        <v>41</v>
      </c>
      <c r="C53" s="19" t="s">
        <v>276</v>
      </c>
      <c r="D53" s="19" t="s">
        <v>278</v>
      </c>
      <c r="E53" s="19" t="s">
        <v>24</v>
      </c>
      <c r="F53" s="31">
        <v>50</v>
      </c>
      <c r="G53" s="19" t="s">
        <v>22</v>
      </c>
    </row>
    <row r="54" spans="1:7" x14ac:dyDescent="0.3">
      <c r="A54" s="17" t="str">
        <f t="shared" si="0"/>
        <v>1. Déjeuner/Pancakes</v>
      </c>
      <c r="B54" s="28" t="s">
        <v>41</v>
      </c>
      <c r="C54" s="19" t="s">
        <v>276</v>
      </c>
      <c r="D54" s="19" t="s">
        <v>256</v>
      </c>
      <c r="E54" s="19" t="s">
        <v>24</v>
      </c>
      <c r="F54" s="31">
        <v>3</v>
      </c>
      <c r="G54" s="19" t="s">
        <v>15</v>
      </c>
    </row>
    <row r="55" spans="1:7" x14ac:dyDescent="0.3">
      <c r="A55" s="17" t="str">
        <f t="shared" si="0"/>
        <v>1. Déjeuner/Pancakes</v>
      </c>
      <c r="B55" s="28" t="s">
        <v>41</v>
      </c>
      <c r="C55" s="19" t="s">
        <v>276</v>
      </c>
      <c r="D55" s="19" t="s">
        <v>124</v>
      </c>
      <c r="E55" s="19" t="s">
        <v>14</v>
      </c>
      <c r="F55" s="31">
        <v>0.2857142857142857</v>
      </c>
      <c r="G55" s="19" t="s">
        <v>18</v>
      </c>
    </row>
    <row r="56" spans="1:7" x14ac:dyDescent="0.3">
      <c r="A56" s="17" t="str">
        <f t="shared" si="0"/>
        <v>1. Déjeuner/Pancakes</v>
      </c>
      <c r="B56" s="28" t="s">
        <v>41</v>
      </c>
      <c r="C56" s="19" t="s">
        <v>276</v>
      </c>
      <c r="D56" s="19" t="s">
        <v>145</v>
      </c>
      <c r="E56" s="19" t="s">
        <v>14</v>
      </c>
      <c r="F56" s="31">
        <v>53.571428571428569</v>
      </c>
      <c r="G56" s="19" t="s">
        <v>15</v>
      </c>
    </row>
    <row r="57" spans="1:7" x14ac:dyDescent="0.3">
      <c r="A57" s="17" t="str">
        <f t="shared" si="0"/>
        <v>1. Déjeuner/Pancakes</v>
      </c>
      <c r="B57" s="28" t="s">
        <v>41</v>
      </c>
      <c r="C57" s="19" t="s">
        <v>276</v>
      </c>
      <c r="D57" s="19" t="s">
        <v>263</v>
      </c>
      <c r="E57" s="19" t="s">
        <v>24</v>
      </c>
      <c r="F57" s="31">
        <v>16.428571428571427</v>
      </c>
      <c r="G57" s="19" t="s">
        <v>80</v>
      </c>
    </row>
    <row r="58" spans="1:7" x14ac:dyDescent="0.3">
      <c r="A58" s="17" t="str">
        <f t="shared" si="0"/>
        <v>1. Déjeuner/Pancakes</v>
      </c>
      <c r="B58" s="28" t="s">
        <v>41</v>
      </c>
      <c r="C58" s="19" t="s">
        <v>276</v>
      </c>
      <c r="D58" s="19" t="s">
        <v>201</v>
      </c>
      <c r="E58" s="19" t="s">
        <v>24</v>
      </c>
      <c r="F58" s="31">
        <v>4.2857142857142856</v>
      </c>
      <c r="G58" s="19" t="s">
        <v>15</v>
      </c>
    </row>
    <row r="59" spans="1:7" x14ac:dyDescent="0.3">
      <c r="A59" s="17" t="str">
        <f t="shared" si="0"/>
        <v>1. Déjeuner/Pancakes</v>
      </c>
      <c r="B59" s="28" t="s">
        <v>41</v>
      </c>
      <c r="C59" s="19" t="s">
        <v>276</v>
      </c>
      <c r="D59" s="19" t="s">
        <v>149</v>
      </c>
      <c r="E59" s="19" t="s">
        <v>14</v>
      </c>
      <c r="F59" s="31">
        <v>2.1428571428571428</v>
      </c>
      <c r="G59" s="19" t="s">
        <v>15</v>
      </c>
    </row>
    <row r="60" spans="1:7" x14ac:dyDescent="0.3">
      <c r="A60" s="17" t="str">
        <f t="shared" si="0"/>
        <v>1. Déjeuner/Pancakes</v>
      </c>
      <c r="B60" s="28" t="s">
        <v>41</v>
      </c>
      <c r="C60" s="19" t="s">
        <v>276</v>
      </c>
      <c r="D60" s="19" t="s">
        <v>444</v>
      </c>
      <c r="E60" s="19" t="s">
        <v>24</v>
      </c>
      <c r="F60" s="31">
        <v>0.35714285714285715</v>
      </c>
      <c r="G60" s="19" t="s">
        <v>15</v>
      </c>
    </row>
    <row r="61" spans="1:7" x14ac:dyDescent="0.3">
      <c r="A61" s="17" t="str">
        <f t="shared" si="0"/>
        <v>1. Déjeuner/Pain</v>
      </c>
      <c r="B61" s="28" t="s">
        <v>41</v>
      </c>
      <c r="C61" s="19" t="s">
        <v>163</v>
      </c>
      <c r="D61" s="19" t="s">
        <v>38</v>
      </c>
      <c r="E61" s="19" t="s">
        <v>19</v>
      </c>
      <c r="F61" s="31">
        <v>1.5</v>
      </c>
      <c r="G61" s="19" t="s">
        <v>18</v>
      </c>
    </row>
    <row r="62" spans="1:7" x14ac:dyDescent="0.3">
      <c r="A62" s="17" t="str">
        <f t="shared" si="0"/>
        <v>1. Déjeuner/Pain</v>
      </c>
      <c r="B62" s="28" t="s">
        <v>41</v>
      </c>
      <c r="C62" s="19" t="s">
        <v>163</v>
      </c>
      <c r="D62" s="19" t="s">
        <v>326</v>
      </c>
      <c r="E62" s="19" t="s">
        <v>19</v>
      </c>
      <c r="F62" s="31">
        <v>1</v>
      </c>
      <c r="G62" s="19" t="s">
        <v>18</v>
      </c>
    </row>
    <row r="63" spans="1:7" x14ac:dyDescent="0.3">
      <c r="A63" s="17" t="str">
        <f t="shared" si="0"/>
        <v>1. Déjeuner/Pain</v>
      </c>
      <c r="B63" s="28" t="s">
        <v>41</v>
      </c>
      <c r="C63" s="19" t="s">
        <v>163</v>
      </c>
      <c r="D63" s="19" t="s">
        <v>176</v>
      </c>
      <c r="E63" s="19" t="s">
        <v>19</v>
      </c>
      <c r="F63" s="31">
        <v>1</v>
      </c>
      <c r="G63" s="19" t="s">
        <v>83</v>
      </c>
    </row>
    <row r="64" spans="1:7" x14ac:dyDescent="0.3">
      <c r="A64" s="17" t="str">
        <f t="shared" si="0"/>
        <v>1. Déjeuner/Oranges</v>
      </c>
      <c r="B64" s="28" t="s">
        <v>41</v>
      </c>
      <c r="C64" s="19" t="s">
        <v>222</v>
      </c>
      <c r="D64" s="19" t="s">
        <v>222</v>
      </c>
      <c r="E64" s="19" t="s">
        <v>26</v>
      </c>
      <c r="F64" s="31">
        <v>0.8</v>
      </c>
      <c r="G64" s="19" t="s">
        <v>18</v>
      </c>
    </row>
    <row r="65" spans="1:7" x14ac:dyDescent="0.3">
      <c r="A65" s="17" t="str">
        <f t="shared" si="0"/>
        <v>1. Déjeuner/Omelette</v>
      </c>
      <c r="B65" s="28" t="s">
        <v>41</v>
      </c>
      <c r="C65" s="19" t="s">
        <v>123</v>
      </c>
      <c r="D65" s="19" t="s">
        <v>124</v>
      </c>
      <c r="E65" s="19" t="s">
        <v>14</v>
      </c>
      <c r="F65" s="31">
        <v>1.25</v>
      </c>
      <c r="G65" s="19" t="s">
        <v>18</v>
      </c>
    </row>
    <row r="66" spans="1:7" x14ac:dyDescent="0.3">
      <c r="A66" s="17" t="str">
        <f t="shared" ref="A66:A128" si="1">CONCATENATE(B66,"/",C66)</f>
        <v>1. Déjeuner/Omelette</v>
      </c>
      <c r="B66" s="28" t="s">
        <v>41</v>
      </c>
      <c r="C66" s="19" t="s">
        <v>123</v>
      </c>
      <c r="D66" s="19" t="s">
        <v>125</v>
      </c>
      <c r="E66" s="19" t="s">
        <v>14</v>
      </c>
      <c r="F66" s="31">
        <v>20</v>
      </c>
      <c r="G66" s="19" t="s">
        <v>22</v>
      </c>
    </row>
    <row r="67" spans="1:7" x14ac:dyDescent="0.3">
      <c r="A67" s="17" t="str">
        <f t="shared" si="1"/>
        <v>1. Déjeuner/Omelette</v>
      </c>
      <c r="B67" s="28" t="s">
        <v>41</v>
      </c>
      <c r="C67" s="19" t="s">
        <v>123</v>
      </c>
      <c r="D67" s="19" t="s">
        <v>126</v>
      </c>
      <c r="E67" s="19" t="s">
        <v>21</v>
      </c>
      <c r="F67" s="31">
        <v>20</v>
      </c>
      <c r="G67" s="19" t="s">
        <v>22</v>
      </c>
    </row>
    <row r="68" spans="1:7" x14ac:dyDescent="0.3">
      <c r="A68" s="17" t="str">
        <f t="shared" si="1"/>
        <v>1. Déjeuner/Omelette</v>
      </c>
      <c r="B68" s="28" t="s">
        <v>41</v>
      </c>
      <c r="C68" s="19" t="s">
        <v>123</v>
      </c>
      <c r="D68" s="19" t="s">
        <v>75</v>
      </c>
      <c r="E68" s="19" t="s">
        <v>26</v>
      </c>
      <c r="F68" s="31" t="s">
        <v>453</v>
      </c>
      <c r="G68" s="19" t="s">
        <v>18</v>
      </c>
    </row>
    <row r="69" spans="1:7" x14ac:dyDescent="0.3">
      <c r="A69" s="17" t="str">
        <f t="shared" si="1"/>
        <v>1. Déjeuner/Omelette</v>
      </c>
      <c r="B69" s="28" t="s">
        <v>41</v>
      </c>
      <c r="C69" s="19" t="s">
        <v>123</v>
      </c>
      <c r="D69" s="19" t="s">
        <v>454</v>
      </c>
      <c r="E69" s="19" t="s">
        <v>26</v>
      </c>
      <c r="F69" s="31" t="s">
        <v>453</v>
      </c>
      <c r="G69" s="19" t="s">
        <v>18</v>
      </c>
    </row>
    <row r="70" spans="1:7" x14ac:dyDescent="0.3">
      <c r="A70" s="17" t="str">
        <f t="shared" si="1"/>
        <v>1. Déjeuner/Omelette</v>
      </c>
      <c r="B70" s="28" t="s">
        <v>41</v>
      </c>
      <c r="C70" s="19" t="s">
        <v>123</v>
      </c>
      <c r="D70" s="19" t="s">
        <v>455</v>
      </c>
      <c r="E70" s="19" t="s">
        <v>19</v>
      </c>
      <c r="F70" s="31">
        <v>2</v>
      </c>
      <c r="G70" s="19" t="s">
        <v>18</v>
      </c>
    </row>
    <row r="71" spans="1:7" x14ac:dyDescent="0.3">
      <c r="A71" s="17" t="str">
        <f t="shared" si="1"/>
        <v>1. Déjeuner/Omelette</v>
      </c>
      <c r="B71" s="28" t="s">
        <v>41</v>
      </c>
      <c r="C71" s="19" t="s">
        <v>123</v>
      </c>
      <c r="D71" s="19" t="s">
        <v>145</v>
      </c>
      <c r="E71" s="19" t="s">
        <v>14</v>
      </c>
      <c r="F71" s="31">
        <v>235</v>
      </c>
      <c r="G71" s="19" t="s">
        <v>15</v>
      </c>
    </row>
    <row r="72" spans="1:7" x14ac:dyDescent="0.3">
      <c r="A72" s="17" t="str">
        <f t="shared" si="1"/>
        <v>1. Déjeuner/Omelette</v>
      </c>
      <c r="B72" s="28" t="s">
        <v>41</v>
      </c>
      <c r="C72" s="19" t="s">
        <v>123</v>
      </c>
      <c r="D72" s="19" t="s">
        <v>258</v>
      </c>
      <c r="E72" s="19" t="s">
        <v>24</v>
      </c>
      <c r="F72" s="31">
        <v>1</v>
      </c>
      <c r="G72" s="19" t="s">
        <v>80</v>
      </c>
    </row>
    <row r="73" spans="1:7" x14ac:dyDescent="0.3">
      <c r="A73" s="17" t="str">
        <f t="shared" si="1"/>
        <v>1. Déjeuner/Omelette</v>
      </c>
      <c r="B73" s="28" t="s">
        <v>41</v>
      </c>
      <c r="C73" s="19" t="s">
        <v>123</v>
      </c>
      <c r="D73" s="19" t="s">
        <v>76</v>
      </c>
      <c r="E73" s="19" t="s">
        <v>24</v>
      </c>
      <c r="F73" s="31">
        <v>10</v>
      </c>
      <c r="G73" s="19" t="s">
        <v>15</v>
      </c>
    </row>
    <row r="74" spans="1:7" x14ac:dyDescent="0.3">
      <c r="A74" s="17" t="str">
        <f t="shared" si="1"/>
        <v>1. Déjeuner/Œufs durs</v>
      </c>
      <c r="B74" s="28" t="s">
        <v>41</v>
      </c>
      <c r="C74" s="19" t="s">
        <v>310</v>
      </c>
      <c r="D74" s="19" t="s">
        <v>124</v>
      </c>
      <c r="E74" s="19" t="s">
        <v>14</v>
      </c>
      <c r="F74" s="31">
        <v>1.2</v>
      </c>
      <c r="G74" s="19" t="s">
        <v>83</v>
      </c>
    </row>
    <row r="75" spans="1:7" x14ac:dyDescent="0.3">
      <c r="A75" s="17" t="str">
        <f t="shared" si="1"/>
        <v>1. Déjeuner/Œufs brouillis</v>
      </c>
      <c r="B75" s="28" t="s">
        <v>41</v>
      </c>
      <c r="C75" s="19" t="s">
        <v>372</v>
      </c>
      <c r="D75" s="19" t="s">
        <v>124</v>
      </c>
      <c r="E75" s="19" t="s">
        <v>14</v>
      </c>
      <c r="F75" s="31">
        <v>3</v>
      </c>
      <c r="G75" s="19" t="s">
        <v>83</v>
      </c>
    </row>
    <row r="76" spans="1:7" x14ac:dyDescent="0.3">
      <c r="A76" s="17" t="str">
        <f t="shared" si="1"/>
        <v>1. Déjeuner/Œufs brouillis</v>
      </c>
      <c r="B76" s="28" t="s">
        <v>41</v>
      </c>
      <c r="C76" s="19" t="s">
        <v>372</v>
      </c>
      <c r="D76" s="19" t="s">
        <v>373</v>
      </c>
      <c r="E76" s="19" t="s">
        <v>24</v>
      </c>
      <c r="F76" s="31">
        <v>2</v>
      </c>
      <c r="G76" s="19" t="s">
        <v>15</v>
      </c>
    </row>
    <row r="77" spans="1:7" x14ac:dyDescent="0.3">
      <c r="A77" s="17" t="str">
        <f t="shared" si="1"/>
        <v>1. Déjeuner/Œufs brouillés</v>
      </c>
      <c r="B77" s="28" t="s">
        <v>41</v>
      </c>
      <c r="C77" s="19" t="s">
        <v>127</v>
      </c>
      <c r="D77" s="19" t="s">
        <v>66</v>
      </c>
      <c r="E77" s="19" t="s">
        <v>21</v>
      </c>
      <c r="F77" s="31">
        <v>50</v>
      </c>
      <c r="G77" s="19" t="s">
        <v>22</v>
      </c>
    </row>
    <row r="78" spans="1:7" x14ac:dyDescent="0.3">
      <c r="A78" s="17" t="str">
        <f t="shared" si="1"/>
        <v>1. Déjeuner/Œufs brouillés</v>
      </c>
      <c r="B78" s="28" t="s">
        <v>41</v>
      </c>
      <c r="C78" s="19" t="s">
        <v>127</v>
      </c>
      <c r="D78" s="19" t="s">
        <v>38</v>
      </c>
      <c r="E78" s="19" t="s">
        <v>19</v>
      </c>
      <c r="F78" s="31">
        <v>1.5</v>
      </c>
      <c r="G78" s="19" t="s">
        <v>18</v>
      </c>
    </row>
    <row r="79" spans="1:7" x14ac:dyDescent="0.3">
      <c r="A79" s="17" t="str">
        <f t="shared" si="1"/>
        <v>1. Déjeuner/Œufs brouillés</v>
      </c>
      <c r="B79" s="28" t="s">
        <v>41</v>
      </c>
      <c r="C79" s="19" t="s">
        <v>127</v>
      </c>
      <c r="D79" s="19" t="s">
        <v>124</v>
      </c>
      <c r="E79" s="19" t="s">
        <v>14</v>
      </c>
      <c r="F79" s="31">
        <v>1.25</v>
      </c>
      <c r="G79" s="19" t="s">
        <v>18</v>
      </c>
    </row>
    <row r="80" spans="1:7" x14ac:dyDescent="0.3">
      <c r="A80" s="17" t="str">
        <f t="shared" si="1"/>
        <v>1. Déjeuner/Œufs brouillés</v>
      </c>
      <c r="B80" s="28" t="s">
        <v>41</v>
      </c>
      <c r="C80" s="19" t="s">
        <v>127</v>
      </c>
      <c r="D80" s="19" t="s">
        <v>245</v>
      </c>
      <c r="E80" s="19" t="s">
        <v>19</v>
      </c>
      <c r="F80" s="31">
        <v>1</v>
      </c>
      <c r="G80" s="19" t="s">
        <v>471</v>
      </c>
    </row>
    <row r="81" spans="1:7" x14ac:dyDescent="0.3">
      <c r="A81" s="17" t="str">
        <f t="shared" si="1"/>
        <v>1. Déjeuner/Œufs bouillis</v>
      </c>
      <c r="B81" s="28" t="s">
        <v>41</v>
      </c>
      <c r="C81" s="19" t="s">
        <v>128</v>
      </c>
      <c r="D81" s="19" t="s">
        <v>129</v>
      </c>
      <c r="E81" s="19" t="s">
        <v>14</v>
      </c>
      <c r="F81" s="31">
        <v>1.25</v>
      </c>
      <c r="G81" s="19" t="s">
        <v>18</v>
      </c>
    </row>
    <row r="82" spans="1:7" x14ac:dyDescent="0.3">
      <c r="A82" s="17" t="str">
        <f t="shared" si="1"/>
        <v>1. Déjeuner/Muffins</v>
      </c>
      <c r="B82" s="28" t="s">
        <v>41</v>
      </c>
      <c r="C82" s="19" t="s">
        <v>289</v>
      </c>
      <c r="D82" s="19" t="s">
        <v>289</v>
      </c>
      <c r="E82" s="29" t="s">
        <v>19</v>
      </c>
      <c r="F82" s="31">
        <v>0.33</v>
      </c>
      <c r="G82" s="19" t="s">
        <v>18</v>
      </c>
    </row>
    <row r="83" spans="1:7" x14ac:dyDescent="0.3">
      <c r="A83" s="17" t="str">
        <f t="shared" si="1"/>
        <v>1. Déjeuner/Muffin</v>
      </c>
      <c r="B83" s="28" t="s">
        <v>41</v>
      </c>
      <c r="C83" s="19" t="s">
        <v>141</v>
      </c>
      <c r="D83" s="19" t="s">
        <v>141</v>
      </c>
      <c r="E83" s="19" t="s">
        <v>19</v>
      </c>
      <c r="F83" s="31">
        <v>0.5</v>
      </c>
      <c r="G83" s="19" t="s">
        <v>18</v>
      </c>
    </row>
    <row r="84" spans="1:7" x14ac:dyDescent="0.3">
      <c r="A84" s="17" t="str">
        <f t="shared" si="1"/>
        <v>1. Déjeuner/Mini fritata</v>
      </c>
      <c r="B84" s="28" t="s">
        <v>41</v>
      </c>
      <c r="C84" s="19" t="s">
        <v>223</v>
      </c>
      <c r="D84" s="19" t="s">
        <v>224</v>
      </c>
      <c r="E84" s="19" t="s">
        <v>14</v>
      </c>
      <c r="F84" s="31">
        <v>2</v>
      </c>
      <c r="G84" s="19" t="s">
        <v>18</v>
      </c>
    </row>
    <row r="85" spans="1:7" x14ac:dyDescent="0.3">
      <c r="A85" s="17" t="str">
        <f t="shared" si="1"/>
        <v>1. Déjeuner/Mini fritata</v>
      </c>
      <c r="B85" s="28" t="s">
        <v>41</v>
      </c>
      <c r="C85" s="19" t="s">
        <v>223</v>
      </c>
      <c r="D85" s="19" t="s">
        <v>126</v>
      </c>
      <c r="E85" s="19" t="s">
        <v>21</v>
      </c>
      <c r="F85" s="31">
        <v>1.5</v>
      </c>
      <c r="G85" s="19" t="s">
        <v>70</v>
      </c>
    </row>
    <row r="86" spans="1:7" x14ac:dyDescent="0.3">
      <c r="A86" s="17" t="str">
        <f t="shared" si="1"/>
        <v>1. Déjeuner/Mini fritata</v>
      </c>
      <c r="B86" s="28" t="s">
        <v>41</v>
      </c>
      <c r="C86" s="19" t="s">
        <v>223</v>
      </c>
      <c r="D86" s="19" t="s">
        <v>225</v>
      </c>
      <c r="E86" s="19" t="s">
        <v>26</v>
      </c>
      <c r="F86" s="31">
        <v>0.25</v>
      </c>
      <c r="G86" s="19" t="s">
        <v>18</v>
      </c>
    </row>
    <row r="87" spans="1:7" x14ac:dyDescent="0.3">
      <c r="A87" s="17" t="str">
        <f t="shared" si="1"/>
        <v>1. Déjeuner/Mini fritata</v>
      </c>
      <c r="B87" s="28" t="s">
        <v>41</v>
      </c>
      <c r="C87" s="19" t="s">
        <v>223</v>
      </c>
      <c r="D87" s="19" t="s">
        <v>111</v>
      </c>
      <c r="E87" s="19" t="s">
        <v>26</v>
      </c>
      <c r="F87" s="31">
        <v>3</v>
      </c>
      <c r="G87" s="19" t="s">
        <v>18</v>
      </c>
    </row>
    <row r="88" spans="1:7" x14ac:dyDescent="0.3">
      <c r="A88" s="17" t="str">
        <f t="shared" si="1"/>
        <v>1. Déjeuner/Mini fritata</v>
      </c>
      <c r="B88" s="28" t="s">
        <v>41</v>
      </c>
      <c r="C88" s="19" t="s">
        <v>223</v>
      </c>
      <c r="D88" s="19" t="s">
        <v>137</v>
      </c>
      <c r="E88" s="19" t="s">
        <v>24</v>
      </c>
      <c r="F88" s="31">
        <v>5.5555555555555552E-2</v>
      </c>
      <c r="G88" s="19" t="s">
        <v>42</v>
      </c>
    </row>
    <row r="89" spans="1:7" x14ac:dyDescent="0.3">
      <c r="A89" s="17" t="str">
        <f t="shared" si="1"/>
        <v>1. Déjeuner/Mini fritata</v>
      </c>
      <c r="B89" s="28" t="s">
        <v>41</v>
      </c>
      <c r="C89" s="19" t="s">
        <v>223</v>
      </c>
      <c r="D89" s="19" t="s">
        <v>113</v>
      </c>
      <c r="E89" s="19" t="s">
        <v>14</v>
      </c>
      <c r="F89" s="31">
        <v>50</v>
      </c>
      <c r="G89" s="19" t="s">
        <v>22</v>
      </c>
    </row>
    <row r="90" spans="1:7" x14ac:dyDescent="0.3">
      <c r="A90" s="17" t="str">
        <f t="shared" si="1"/>
        <v>1. Déjeuner/Lait au chocolat</v>
      </c>
      <c r="B90" s="28" t="s">
        <v>41</v>
      </c>
      <c r="C90" s="19" t="s">
        <v>332</v>
      </c>
      <c r="D90" s="19" t="s">
        <v>333</v>
      </c>
      <c r="E90" s="19" t="s">
        <v>24</v>
      </c>
      <c r="F90" s="31">
        <v>5</v>
      </c>
      <c r="G90" s="19" t="s">
        <v>15</v>
      </c>
    </row>
    <row r="91" spans="1:7" x14ac:dyDescent="0.3">
      <c r="A91" s="17" t="str">
        <f t="shared" si="1"/>
        <v>1. Déjeuner/Lait au chocolat</v>
      </c>
      <c r="B91" s="28" t="s">
        <v>41</v>
      </c>
      <c r="C91" s="19" t="s">
        <v>332</v>
      </c>
      <c r="D91" s="19" t="s">
        <v>145</v>
      </c>
      <c r="E91" s="19" t="s">
        <v>14</v>
      </c>
      <c r="F91" s="31">
        <v>150</v>
      </c>
      <c r="G91" s="19" t="s">
        <v>15</v>
      </c>
    </row>
    <row r="92" spans="1:7" x14ac:dyDescent="0.3">
      <c r="A92" s="17" t="str">
        <f t="shared" si="1"/>
        <v>1. Déjeuner/Lait</v>
      </c>
      <c r="B92" s="28" t="s">
        <v>41</v>
      </c>
      <c r="C92" s="19" t="s">
        <v>145</v>
      </c>
      <c r="D92" s="19" t="s">
        <v>145</v>
      </c>
      <c r="E92" s="19" t="s">
        <v>14</v>
      </c>
      <c r="F92" s="31">
        <v>0.2</v>
      </c>
      <c r="G92" s="19" t="s">
        <v>146</v>
      </c>
    </row>
    <row r="93" spans="1:7" x14ac:dyDescent="0.3">
      <c r="A93" s="17" t="str">
        <f t="shared" si="1"/>
        <v>1. Déjeuner/Hash browns</v>
      </c>
      <c r="B93" s="28" t="s">
        <v>41</v>
      </c>
      <c r="C93" s="19" t="s">
        <v>158</v>
      </c>
      <c r="D93" s="19" t="s">
        <v>158</v>
      </c>
      <c r="E93" s="29" t="s">
        <v>506</v>
      </c>
      <c r="F93" s="31">
        <v>50</v>
      </c>
      <c r="G93" s="19" t="s">
        <v>22</v>
      </c>
    </row>
    <row r="94" spans="1:7" x14ac:dyDescent="0.3">
      <c r="A94" s="17" t="str">
        <f t="shared" si="1"/>
        <v>1. Déjeuner/Gaufres</v>
      </c>
      <c r="B94" s="28" t="s">
        <v>41</v>
      </c>
      <c r="C94" s="19" t="s">
        <v>165</v>
      </c>
      <c r="D94" s="19" t="s">
        <v>166</v>
      </c>
      <c r="E94" s="19" t="s">
        <v>24</v>
      </c>
      <c r="F94" s="31">
        <v>0.5</v>
      </c>
      <c r="G94" s="19" t="s">
        <v>18</v>
      </c>
    </row>
    <row r="95" spans="1:7" x14ac:dyDescent="0.3">
      <c r="A95" s="17" t="str">
        <f t="shared" si="1"/>
        <v>1. Déjeuner/Gaufres</v>
      </c>
      <c r="B95" s="28" t="s">
        <v>41</v>
      </c>
      <c r="C95" s="19" t="s">
        <v>165</v>
      </c>
      <c r="D95" s="19" t="s">
        <v>40</v>
      </c>
      <c r="E95" s="19" t="s">
        <v>24</v>
      </c>
      <c r="F95" s="31">
        <v>20</v>
      </c>
      <c r="G95" s="19" t="s">
        <v>15</v>
      </c>
    </row>
    <row r="96" spans="1:7" x14ac:dyDescent="0.3">
      <c r="A96" s="17" t="str">
        <f t="shared" si="1"/>
        <v>1. Déjeuner/Gaufres</v>
      </c>
      <c r="B96" s="28" t="s">
        <v>41</v>
      </c>
      <c r="C96" s="19" t="s">
        <v>165</v>
      </c>
      <c r="D96" s="19" t="s">
        <v>167</v>
      </c>
      <c r="E96" s="19" t="s">
        <v>24</v>
      </c>
      <c r="F96" s="31">
        <v>20</v>
      </c>
      <c r="G96" s="19" t="s">
        <v>15</v>
      </c>
    </row>
    <row r="97" spans="1:7" x14ac:dyDescent="0.3">
      <c r="A97" s="17" t="str">
        <f t="shared" si="1"/>
        <v>1. Déjeuner/Gaufres</v>
      </c>
      <c r="B97" s="28" t="s">
        <v>41</v>
      </c>
      <c r="C97" s="19" t="s">
        <v>165</v>
      </c>
      <c r="D97" s="19" t="s">
        <v>168</v>
      </c>
      <c r="E97" s="19" t="s">
        <v>24</v>
      </c>
      <c r="F97" s="31">
        <v>6.6666666666666666E-2</v>
      </c>
      <c r="G97" s="19" t="s">
        <v>18</v>
      </c>
    </row>
    <row r="98" spans="1:7" x14ac:dyDescent="0.3">
      <c r="A98" s="17" t="str">
        <f t="shared" si="1"/>
        <v>1. Déjeuner/Gaufres</v>
      </c>
      <c r="B98" s="28" t="s">
        <v>41</v>
      </c>
      <c r="C98" s="19" t="s">
        <v>165</v>
      </c>
      <c r="D98" s="19" t="s">
        <v>169</v>
      </c>
      <c r="E98" s="19" t="s">
        <v>26</v>
      </c>
      <c r="F98" s="31">
        <v>1</v>
      </c>
      <c r="G98" s="19" t="s">
        <v>18</v>
      </c>
    </row>
    <row r="99" spans="1:7" x14ac:dyDescent="0.3">
      <c r="A99" s="17" t="str">
        <f t="shared" si="1"/>
        <v>1. Déjeuner/Fruits</v>
      </c>
      <c r="B99" s="28" t="s">
        <v>41</v>
      </c>
      <c r="C99" s="19" t="s">
        <v>99</v>
      </c>
      <c r="D99" s="19" t="s">
        <v>221</v>
      </c>
      <c r="E99" s="19" t="s">
        <v>26</v>
      </c>
      <c r="F99" s="31">
        <v>5.5555555555555552E-2</v>
      </c>
      <c r="G99" s="19" t="s">
        <v>136</v>
      </c>
    </row>
    <row r="100" spans="1:7" x14ac:dyDescent="0.3">
      <c r="A100" s="17" t="str">
        <f t="shared" si="1"/>
        <v>1. Déjeuner/Fruits</v>
      </c>
      <c r="B100" s="28" t="s">
        <v>41</v>
      </c>
      <c r="C100" s="19" t="s">
        <v>99</v>
      </c>
      <c r="D100" s="19" t="s">
        <v>222</v>
      </c>
      <c r="E100" s="19" t="s">
        <v>26</v>
      </c>
      <c r="F100" s="31">
        <v>0.75</v>
      </c>
      <c r="G100" s="19" t="s">
        <v>18</v>
      </c>
    </row>
    <row r="101" spans="1:7" x14ac:dyDescent="0.3">
      <c r="A101" s="17" t="str">
        <f t="shared" si="1"/>
        <v>1. Déjeuner/Fruits</v>
      </c>
      <c r="B101" s="28" t="s">
        <v>41</v>
      </c>
      <c r="C101" s="19" t="s">
        <v>99</v>
      </c>
      <c r="D101" s="19" t="s">
        <v>169</v>
      </c>
      <c r="E101" s="19" t="s">
        <v>26</v>
      </c>
      <c r="F101" s="31">
        <v>0.75</v>
      </c>
      <c r="G101" s="19" t="s">
        <v>18</v>
      </c>
    </row>
    <row r="102" spans="1:7" x14ac:dyDescent="0.3">
      <c r="A102" s="17" t="str">
        <f t="shared" si="1"/>
        <v>1. Déjeuner/Fruits</v>
      </c>
      <c r="B102" s="28" t="s">
        <v>41</v>
      </c>
      <c r="C102" s="19" t="s">
        <v>99</v>
      </c>
      <c r="D102" s="19" t="s">
        <v>122</v>
      </c>
      <c r="E102" s="19" t="s">
        <v>26</v>
      </c>
      <c r="F102" s="31">
        <v>0.5</v>
      </c>
      <c r="G102" s="19" t="s">
        <v>18</v>
      </c>
    </row>
    <row r="103" spans="1:7" x14ac:dyDescent="0.3">
      <c r="A103" s="17" t="str">
        <f t="shared" si="1"/>
        <v>1. Déjeuner/Fruit</v>
      </c>
      <c r="B103" s="28" t="s">
        <v>41</v>
      </c>
      <c r="C103" s="19" t="s">
        <v>170</v>
      </c>
      <c r="D103" s="19" t="s">
        <v>172</v>
      </c>
      <c r="E103" s="19" t="s">
        <v>26</v>
      </c>
      <c r="F103" s="31">
        <v>1</v>
      </c>
      <c r="G103" s="19" t="s">
        <v>18</v>
      </c>
    </row>
    <row r="104" spans="1:7" x14ac:dyDescent="0.3">
      <c r="A104" s="17" t="str">
        <f t="shared" si="1"/>
        <v>1. Déjeuner/Foul</v>
      </c>
      <c r="B104" s="28" t="s">
        <v>41</v>
      </c>
      <c r="C104" s="19" t="s">
        <v>173</v>
      </c>
      <c r="D104" s="19" t="s">
        <v>173</v>
      </c>
      <c r="E104" s="19" t="s">
        <v>24</v>
      </c>
      <c r="F104" s="31">
        <v>125</v>
      </c>
      <c r="G104" s="19" t="s">
        <v>15</v>
      </c>
    </row>
    <row r="105" spans="1:7" x14ac:dyDescent="0.3">
      <c r="A105" s="17" t="str">
        <f t="shared" si="1"/>
        <v>1. Déjeuner/Foul</v>
      </c>
      <c r="B105" s="28" t="s">
        <v>41</v>
      </c>
      <c r="C105" s="19" t="s">
        <v>173</v>
      </c>
      <c r="D105" s="19" t="s">
        <v>34</v>
      </c>
      <c r="E105" s="19" t="s">
        <v>24</v>
      </c>
      <c r="F105" s="31">
        <v>10</v>
      </c>
      <c r="G105" s="19" t="s">
        <v>15</v>
      </c>
    </row>
    <row r="106" spans="1:7" x14ac:dyDescent="0.3">
      <c r="A106" s="17" t="str">
        <f t="shared" si="1"/>
        <v>1. Déjeuner/Foul</v>
      </c>
      <c r="B106" s="28" t="s">
        <v>41</v>
      </c>
      <c r="C106" s="19" t="s">
        <v>173</v>
      </c>
      <c r="D106" s="19" t="s">
        <v>174</v>
      </c>
      <c r="E106" s="19" t="s">
        <v>26</v>
      </c>
      <c r="F106" s="31">
        <v>0.4</v>
      </c>
      <c r="G106" s="19" t="s">
        <v>83</v>
      </c>
    </row>
    <row r="107" spans="1:7" x14ac:dyDescent="0.3">
      <c r="A107" s="17" t="str">
        <f t="shared" si="1"/>
        <v>1. Déjeuner/Foul</v>
      </c>
      <c r="B107" s="28" t="s">
        <v>41</v>
      </c>
      <c r="C107" s="19" t="s">
        <v>173</v>
      </c>
      <c r="D107" s="19" t="s">
        <v>75</v>
      </c>
      <c r="E107" s="19" t="s">
        <v>26</v>
      </c>
      <c r="F107" s="31">
        <v>0.25</v>
      </c>
      <c r="G107" s="19" t="s">
        <v>83</v>
      </c>
    </row>
    <row r="108" spans="1:7" x14ac:dyDescent="0.3">
      <c r="A108" s="17" t="str">
        <f t="shared" si="1"/>
        <v>1. Déjeuner/Foul</v>
      </c>
      <c r="B108" s="28" t="s">
        <v>41</v>
      </c>
      <c r="C108" s="19" t="s">
        <v>173</v>
      </c>
      <c r="D108" s="19" t="s">
        <v>86</v>
      </c>
      <c r="E108" s="19" t="s">
        <v>26</v>
      </c>
      <c r="F108" s="31">
        <v>0.25</v>
      </c>
      <c r="G108" s="19" t="s">
        <v>83</v>
      </c>
    </row>
    <row r="109" spans="1:7" x14ac:dyDescent="0.3">
      <c r="A109" s="17" t="str">
        <f t="shared" si="1"/>
        <v>1. Déjeuner/Foul</v>
      </c>
      <c r="B109" s="28" t="s">
        <v>41</v>
      </c>
      <c r="C109" s="19" t="s">
        <v>173</v>
      </c>
      <c r="D109" s="19" t="s">
        <v>175</v>
      </c>
      <c r="E109" s="19" t="s">
        <v>24</v>
      </c>
      <c r="F109" s="31">
        <v>10</v>
      </c>
      <c r="G109" s="19" t="s">
        <v>15</v>
      </c>
    </row>
    <row r="110" spans="1:7" x14ac:dyDescent="0.3">
      <c r="A110" s="17" t="str">
        <f t="shared" si="1"/>
        <v>1. Déjeuner/Foul</v>
      </c>
      <c r="B110" s="28" t="s">
        <v>41</v>
      </c>
      <c r="C110" s="19" t="s">
        <v>173</v>
      </c>
      <c r="D110" s="19" t="s">
        <v>28</v>
      </c>
      <c r="E110" s="19" t="s">
        <v>26</v>
      </c>
      <c r="F110" s="31">
        <v>0.4</v>
      </c>
      <c r="G110" s="19" t="s">
        <v>18</v>
      </c>
    </row>
    <row r="111" spans="1:7" x14ac:dyDescent="0.3">
      <c r="A111" s="17" t="str">
        <f t="shared" si="1"/>
        <v>1. Déjeuner/Foul</v>
      </c>
      <c r="B111" s="28" t="s">
        <v>41</v>
      </c>
      <c r="C111" s="19" t="s">
        <v>173</v>
      </c>
      <c r="D111" s="19" t="s">
        <v>414</v>
      </c>
      <c r="E111" s="19" t="s">
        <v>26</v>
      </c>
      <c r="F111" s="31">
        <v>0.25</v>
      </c>
      <c r="G111" s="19" t="s">
        <v>18</v>
      </c>
    </row>
    <row r="112" spans="1:7" x14ac:dyDescent="0.3">
      <c r="A112" s="17" t="str">
        <f t="shared" ref="A112" si="2">CONCATENATE(B112,"/",C112)</f>
        <v>1. Déjeuner/Foul</v>
      </c>
      <c r="B112" s="28" t="s">
        <v>41</v>
      </c>
      <c r="C112" s="19" t="s">
        <v>173</v>
      </c>
      <c r="D112" s="29" t="s">
        <v>436</v>
      </c>
      <c r="E112" s="29" t="s">
        <v>26</v>
      </c>
      <c r="F112" s="31"/>
    </row>
    <row r="113" spans="1:7" x14ac:dyDescent="0.3">
      <c r="A113" s="17" t="str">
        <f t="shared" si="1"/>
        <v>1. Déjeuner/Foul</v>
      </c>
      <c r="B113" s="28" t="s">
        <v>41</v>
      </c>
      <c r="C113" s="19" t="s">
        <v>173</v>
      </c>
      <c r="D113" s="19" t="s">
        <v>245</v>
      </c>
      <c r="E113" s="19" t="s">
        <v>19</v>
      </c>
      <c r="F113" s="31" t="s">
        <v>431</v>
      </c>
      <c r="G113" s="19" t="s">
        <v>18</v>
      </c>
    </row>
    <row r="114" spans="1:7" x14ac:dyDescent="0.3">
      <c r="A114" s="17" t="str">
        <f t="shared" si="1"/>
        <v>1. Déjeuner/Confiture</v>
      </c>
      <c r="B114" s="28" t="s">
        <v>41</v>
      </c>
      <c r="C114" s="19" t="s">
        <v>312</v>
      </c>
      <c r="D114" s="19" t="s">
        <v>312</v>
      </c>
      <c r="E114" s="19" t="s">
        <v>24</v>
      </c>
      <c r="F114" s="31"/>
      <c r="G114" s="19" t="s">
        <v>15</v>
      </c>
    </row>
    <row r="115" spans="1:7" x14ac:dyDescent="0.3">
      <c r="A115" s="17" t="str">
        <f t="shared" si="1"/>
        <v>1. Déjeuner/Charcuteries</v>
      </c>
      <c r="B115" s="28" t="s">
        <v>41</v>
      </c>
      <c r="C115" s="19" t="s">
        <v>240</v>
      </c>
      <c r="D115" s="19" t="s">
        <v>241</v>
      </c>
      <c r="E115" s="19" t="s">
        <v>14</v>
      </c>
      <c r="F115" s="31">
        <v>20</v>
      </c>
      <c r="G115" s="19" t="s">
        <v>22</v>
      </c>
    </row>
    <row r="116" spans="1:7" x14ac:dyDescent="0.3">
      <c r="A116" s="17" t="str">
        <f t="shared" si="1"/>
        <v>1. Déjeuner/Charcuteries</v>
      </c>
      <c r="B116" s="28" t="s">
        <v>41</v>
      </c>
      <c r="C116" s="19" t="s">
        <v>240</v>
      </c>
      <c r="D116" s="19" t="s">
        <v>242</v>
      </c>
      <c r="E116" s="19" t="s">
        <v>21</v>
      </c>
      <c r="F116" s="31">
        <v>1</v>
      </c>
      <c r="G116" s="19" t="s">
        <v>70</v>
      </c>
    </row>
    <row r="117" spans="1:7" x14ac:dyDescent="0.3">
      <c r="A117" s="17" t="str">
        <f t="shared" si="1"/>
        <v>1. Déjeuner/Charcuteries</v>
      </c>
      <c r="B117" s="28" t="s">
        <v>41</v>
      </c>
      <c r="C117" s="19" t="s">
        <v>240</v>
      </c>
      <c r="D117" s="19" t="s">
        <v>243</v>
      </c>
      <c r="E117" s="19" t="s">
        <v>21</v>
      </c>
      <c r="F117" s="31">
        <v>2</v>
      </c>
      <c r="G117" s="19" t="s">
        <v>70</v>
      </c>
    </row>
    <row r="118" spans="1:7" x14ac:dyDescent="0.3">
      <c r="A118" s="17" t="str">
        <f t="shared" si="1"/>
        <v>1. Déjeuner/Céréales</v>
      </c>
      <c r="B118" s="28" t="s">
        <v>41</v>
      </c>
      <c r="C118" s="19" t="s">
        <v>197</v>
      </c>
      <c r="D118" s="19" t="s">
        <v>197</v>
      </c>
      <c r="E118" s="19" t="s">
        <v>19</v>
      </c>
      <c r="F118" s="31">
        <v>55</v>
      </c>
      <c r="G118" s="19" t="s">
        <v>22</v>
      </c>
    </row>
    <row r="119" spans="1:7" x14ac:dyDescent="0.3">
      <c r="A119" s="17" t="str">
        <f t="shared" si="1"/>
        <v>1. Déjeuner/Céréales</v>
      </c>
      <c r="B119" s="28" t="s">
        <v>41</v>
      </c>
      <c r="C119" s="19" t="s">
        <v>197</v>
      </c>
      <c r="D119" s="19" t="s">
        <v>287</v>
      </c>
      <c r="E119" s="19" t="s">
        <v>19</v>
      </c>
      <c r="F119" s="31">
        <v>40.6</v>
      </c>
      <c r="G119" s="19" t="s">
        <v>22</v>
      </c>
    </row>
    <row r="120" spans="1:7" x14ac:dyDescent="0.3">
      <c r="A120" s="17" t="str">
        <f t="shared" si="1"/>
        <v>1. Déjeuner/Céréales</v>
      </c>
      <c r="B120" s="28" t="s">
        <v>41</v>
      </c>
      <c r="C120" s="19" t="s">
        <v>197</v>
      </c>
      <c r="D120" s="19" t="s">
        <v>288</v>
      </c>
      <c r="E120" s="19" t="s">
        <v>19</v>
      </c>
      <c r="F120" s="31">
        <v>40.6</v>
      </c>
      <c r="G120" s="19" t="s">
        <v>22</v>
      </c>
    </row>
    <row r="121" spans="1:7" x14ac:dyDescent="0.3">
      <c r="A121" s="17" t="str">
        <f t="shared" si="1"/>
        <v>1. Déjeuner/Céréales</v>
      </c>
      <c r="B121" s="28" t="s">
        <v>41</v>
      </c>
      <c r="C121" s="19" t="s">
        <v>197</v>
      </c>
      <c r="D121" s="19" t="s">
        <v>403</v>
      </c>
      <c r="E121" s="19" t="s">
        <v>19</v>
      </c>
      <c r="F121" s="31">
        <v>50</v>
      </c>
      <c r="G121" s="19" t="s">
        <v>80</v>
      </c>
    </row>
    <row r="122" spans="1:7" x14ac:dyDescent="0.3">
      <c r="A122" s="17" t="str">
        <f t="shared" si="1"/>
        <v>1. Déjeuner/Céréales</v>
      </c>
      <c r="B122" s="28" t="s">
        <v>41</v>
      </c>
      <c r="C122" s="19" t="s">
        <v>197</v>
      </c>
      <c r="D122" s="19" t="s">
        <v>145</v>
      </c>
      <c r="E122" s="19" t="s">
        <v>14</v>
      </c>
      <c r="F122" s="31">
        <v>200</v>
      </c>
      <c r="G122" s="19" t="s">
        <v>15</v>
      </c>
    </row>
    <row r="123" spans="1:7" x14ac:dyDescent="0.3">
      <c r="A123" s="17" t="str">
        <f t="shared" si="1"/>
        <v>1. Déjeuner/Café - Nescafé</v>
      </c>
      <c r="B123" s="28" t="s">
        <v>41</v>
      </c>
      <c r="C123" s="19" t="s">
        <v>199</v>
      </c>
      <c r="D123" s="19" t="s">
        <v>145</v>
      </c>
      <c r="E123" s="19" t="s">
        <v>14</v>
      </c>
      <c r="F123" s="31">
        <v>50</v>
      </c>
      <c r="G123" s="19" t="s">
        <v>15</v>
      </c>
    </row>
    <row r="124" spans="1:7" x14ac:dyDescent="0.3">
      <c r="A124" s="17" t="str">
        <f t="shared" si="1"/>
        <v>1. Déjeuner/Café - Nescafé</v>
      </c>
      <c r="B124" s="28" t="s">
        <v>41</v>
      </c>
      <c r="C124" s="19" t="s">
        <v>199</v>
      </c>
      <c r="D124" s="19" t="s">
        <v>200</v>
      </c>
      <c r="E124" s="19" t="s">
        <v>24</v>
      </c>
      <c r="F124" s="31">
        <v>10</v>
      </c>
      <c r="G124" s="19" t="s">
        <v>80</v>
      </c>
    </row>
    <row r="125" spans="1:7" x14ac:dyDescent="0.3">
      <c r="A125" s="17" t="str">
        <f t="shared" si="1"/>
        <v>1. Déjeuner/Café - Nescafé</v>
      </c>
      <c r="B125" s="28" t="s">
        <v>41</v>
      </c>
      <c r="C125" s="19" t="s">
        <v>199</v>
      </c>
      <c r="D125" s="19" t="s">
        <v>201</v>
      </c>
      <c r="E125" s="19" t="s">
        <v>24</v>
      </c>
      <c r="F125" s="31">
        <v>10</v>
      </c>
      <c r="G125" s="19" t="s">
        <v>80</v>
      </c>
    </row>
    <row r="126" spans="1:7" x14ac:dyDescent="0.3">
      <c r="A126" s="17" t="str">
        <f t="shared" si="1"/>
        <v>1. Déjeuner/Breuvages</v>
      </c>
      <c r="B126" s="28" t="s">
        <v>41</v>
      </c>
      <c r="C126" s="19" t="s">
        <v>144</v>
      </c>
      <c r="D126" s="19" t="s">
        <v>235</v>
      </c>
      <c r="E126" s="19" t="s">
        <v>24</v>
      </c>
      <c r="F126" s="31">
        <v>150</v>
      </c>
      <c r="G126" s="19" t="s">
        <v>236</v>
      </c>
    </row>
    <row r="127" spans="1:7" x14ac:dyDescent="0.3">
      <c r="A127" s="17" t="str">
        <f t="shared" si="1"/>
        <v>1. Déjeuner/Breuvages</v>
      </c>
      <c r="B127" s="28" t="s">
        <v>41</v>
      </c>
      <c r="C127" s="19" t="s">
        <v>144</v>
      </c>
      <c r="D127" s="19" t="s">
        <v>237</v>
      </c>
      <c r="E127" s="19" t="s">
        <v>24</v>
      </c>
      <c r="F127" s="31">
        <v>5.5555555555555552E-2</v>
      </c>
      <c r="G127" s="19" t="s">
        <v>236</v>
      </c>
    </row>
    <row r="128" spans="1:7" x14ac:dyDescent="0.3">
      <c r="A128" s="17" t="str">
        <f t="shared" si="1"/>
        <v>1. Déjeuner/Breuvages</v>
      </c>
      <c r="B128" s="28" t="s">
        <v>41</v>
      </c>
      <c r="C128" s="19" t="s">
        <v>144</v>
      </c>
      <c r="D128" s="19" t="s">
        <v>238</v>
      </c>
      <c r="E128" s="19" t="s">
        <v>24</v>
      </c>
      <c r="F128" s="31">
        <v>1</v>
      </c>
      <c r="G128" s="19" t="s">
        <v>239</v>
      </c>
    </row>
    <row r="129" spans="1:7" x14ac:dyDescent="0.3">
      <c r="A129" s="17" t="str">
        <f t="shared" ref="A129:A187" si="3">CONCATENATE(B129,"/",C129)</f>
        <v>1. Déjeuner/Breakfast sandwich</v>
      </c>
      <c r="B129" s="28" t="s">
        <v>41</v>
      </c>
      <c r="C129" s="19" t="s">
        <v>250</v>
      </c>
      <c r="D129" s="19" t="s">
        <v>38</v>
      </c>
      <c r="E129" s="19" t="s">
        <v>19</v>
      </c>
      <c r="F129" s="31">
        <v>3</v>
      </c>
      <c r="G129" s="19" t="s">
        <v>18</v>
      </c>
    </row>
    <row r="130" spans="1:7" x14ac:dyDescent="0.3">
      <c r="A130" s="17" t="str">
        <f t="shared" si="3"/>
        <v>1. Déjeuner/Breakfast sandwich</v>
      </c>
      <c r="B130" s="28" t="s">
        <v>41</v>
      </c>
      <c r="C130" s="19" t="s">
        <v>250</v>
      </c>
      <c r="D130" s="19" t="s">
        <v>246</v>
      </c>
      <c r="E130" s="19" t="s">
        <v>26</v>
      </c>
      <c r="F130" s="31">
        <v>0.05</v>
      </c>
      <c r="G130" s="19" t="s">
        <v>18</v>
      </c>
    </row>
    <row r="131" spans="1:7" x14ac:dyDescent="0.3">
      <c r="A131" s="17" t="str">
        <f t="shared" si="3"/>
        <v>1. Déjeuner/Breakfast sandwich</v>
      </c>
      <c r="B131" s="28" t="s">
        <v>41</v>
      </c>
      <c r="C131" s="19" t="s">
        <v>250</v>
      </c>
      <c r="D131" s="19" t="s">
        <v>174</v>
      </c>
      <c r="E131" s="19" t="s">
        <v>26</v>
      </c>
      <c r="F131" s="31">
        <v>0.25</v>
      </c>
      <c r="G131" s="19" t="s">
        <v>18</v>
      </c>
    </row>
    <row r="132" spans="1:7" x14ac:dyDescent="0.3">
      <c r="A132" s="17" t="str">
        <f t="shared" si="3"/>
        <v>1. Déjeuner/Breakfast sandwich</v>
      </c>
      <c r="B132" s="28" t="s">
        <v>41</v>
      </c>
      <c r="C132" s="19" t="s">
        <v>250</v>
      </c>
      <c r="D132" s="19" t="s">
        <v>23</v>
      </c>
      <c r="E132" s="19" t="s">
        <v>24</v>
      </c>
      <c r="F132" s="31">
        <v>0.02</v>
      </c>
      <c r="G132" s="19" t="s">
        <v>18</v>
      </c>
    </row>
    <row r="133" spans="1:7" x14ac:dyDescent="0.3">
      <c r="A133" s="17" t="str">
        <f t="shared" si="3"/>
        <v>1. Déjeuner/Breakfast sandwich</v>
      </c>
      <c r="B133" s="28" t="s">
        <v>41</v>
      </c>
      <c r="C133" s="19" t="s">
        <v>250</v>
      </c>
      <c r="D133" s="19" t="s">
        <v>251</v>
      </c>
      <c r="E133" s="19" t="s">
        <v>14</v>
      </c>
      <c r="F133" s="31">
        <v>1.5</v>
      </c>
      <c r="G133" s="19" t="s">
        <v>18</v>
      </c>
    </row>
    <row r="134" spans="1:7" x14ac:dyDescent="0.3">
      <c r="A134" s="17" t="str">
        <f t="shared" si="3"/>
        <v>1. Déjeuner/Breakfast sandwich</v>
      </c>
      <c r="B134" s="28" t="s">
        <v>41</v>
      </c>
      <c r="C134" s="19" t="s">
        <v>250</v>
      </c>
      <c r="D134" s="19" t="s">
        <v>126</v>
      </c>
      <c r="E134" s="19" t="s">
        <v>21</v>
      </c>
      <c r="F134" s="31">
        <v>1.5</v>
      </c>
      <c r="G134" s="19" t="s">
        <v>27</v>
      </c>
    </row>
    <row r="135" spans="1:7" x14ac:dyDescent="0.3">
      <c r="A135" s="17" t="str">
        <f t="shared" si="3"/>
        <v>1. Déjeuner/Breakfast sandwich</v>
      </c>
      <c r="B135" s="28" t="s">
        <v>41</v>
      </c>
      <c r="C135" s="19" t="s">
        <v>250</v>
      </c>
      <c r="D135" s="19" t="s">
        <v>252</v>
      </c>
      <c r="E135" s="19" t="s">
        <v>24</v>
      </c>
      <c r="F135" s="31">
        <v>1</v>
      </c>
      <c r="G135" s="19" t="s">
        <v>18</v>
      </c>
    </row>
    <row r="136" spans="1:7" x14ac:dyDescent="0.3">
      <c r="A136" s="17" t="str">
        <f t="shared" si="3"/>
        <v>1. Déjeuner/Bagels - Saumon fumé</v>
      </c>
      <c r="B136" s="28" t="s">
        <v>41</v>
      </c>
      <c r="C136" s="19" t="s">
        <v>211</v>
      </c>
      <c r="D136" s="19" t="s">
        <v>212</v>
      </c>
      <c r="E136" s="19" t="s">
        <v>19</v>
      </c>
      <c r="F136" s="31">
        <v>2</v>
      </c>
      <c r="G136" s="19" t="s">
        <v>83</v>
      </c>
    </row>
    <row r="137" spans="1:7" x14ac:dyDescent="0.3">
      <c r="A137" s="17" t="str">
        <f t="shared" si="3"/>
        <v>1. Déjeuner/Bagels - Saumon fumé</v>
      </c>
      <c r="B137" s="28" t="s">
        <v>41</v>
      </c>
      <c r="C137" s="19" t="s">
        <v>211</v>
      </c>
      <c r="D137" s="19" t="s">
        <v>213</v>
      </c>
      <c r="E137" s="19" t="s">
        <v>21</v>
      </c>
      <c r="F137" s="31">
        <v>45</v>
      </c>
      <c r="G137" s="19" t="s">
        <v>80</v>
      </c>
    </row>
    <row r="138" spans="1:7" x14ac:dyDescent="0.3">
      <c r="A138" s="17" t="str">
        <f t="shared" si="3"/>
        <v>1. Déjeuner/Bagels - Saumon fumé</v>
      </c>
      <c r="B138" s="28" t="s">
        <v>41</v>
      </c>
      <c r="C138" s="19" t="s">
        <v>211</v>
      </c>
      <c r="D138" s="19" t="s">
        <v>214</v>
      </c>
      <c r="E138" s="19" t="s">
        <v>14</v>
      </c>
      <c r="F138" s="31">
        <v>40</v>
      </c>
      <c r="G138" s="19" t="s">
        <v>80</v>
      </c>
    </row>
    <row r="139" spans="1:7" x14ac:dyDescent="0.3">
      <c r="A139" s="17" t="str">
        <f t="shared" si="3"/>
        <v>1. Déjeuner/Bagels</v>
      </c>
      <c r="B139" s="28" t="s">
        <v>41</v>
      </c>
      <c r="C139" s="19" t="s">
        <v>212</v>
      </c>
      <c r="D139" s="19" t="s">
        <v>212</v>
      </c>
      <c r="E139" s="19" t="s">
        <v>19</v>
      </c>
      <c r="F139" s="31">
        <v>2</v>
      </c>
      <c r="G139" s="19" t="s">
        <v>83</v>
      </c>
    </row>
    <row r="140" spans="1:7" x14ac:dyDescent="0.3">
      <c r="A140" s="17" t="str">
        <f t="shared" si="3"/>
        <v>1. Déjeuner/Bagels</v>
      </c>
      <c r="B140" s="28" t="s">
        <v>41</v>
      </c>
      <c r="C140" s="19" t="s">
        <v>212</v>
      </c>
      <c r="D140" s="19" t="s">
        <v>28</v>
      </c>
      <c r="E140" s="19" t="s">
        <v>26</v>
      </c>
      <c r="F140" s="31">
        <v>0.33333333333333331</v>
      </c>
      <c r="G140" s="19" t="s">
        <v>18</v>
      </c>
    </row>
    <row r="141" spans="1:7" x14ac:dyDescent="0.3">
      <c r="A141" s="17" t="str">
        <f t="shared" si="3"/>
        <v>1. Déjeuner/Bagels</v>
      </c>
      <c r="B141" s="28" t="s">
        <v>41</v>
      </c>
      <c r="C141" s="19" t="s">
        <v>212</v>
      </c>
      <c r="D141" s="19" t="s">
        <v>214</v>
      </c>
      <c r="E141" s="19" t="s">
        <v>14</v>
      </c>
      <c r="F141" s="31">
        <v>40</v>
      </c>
      <c r="G141" s="19" t="s">
        <v>22</v>
      </c>
    </row>
    <row r="142" spans="1:7" x14ac:dyDescent="0.3">
      <c r="A142" s="17" t="str">
        <f t="shared" si="3"/>
        <v>1. Déjeuner/Bagels</v>
      </c>
      <c r="B142" s="28" t="s">
        <v>41</v>
      </c>
      <c r="C142" s="19" t="s">
        <v>212</v>
      </c>
      <c r="D142" s="19" t="s">
        <v>40</v>
      </c>
      <c r="E142" s="19" t="s">
        <v>24</v>
      </c>
      <c r="F142" s="31">
        <v>35</v>
      </c>
      <c r="G142" s="19" t="s">
        <v>80</v>
      </c>
    </row>
    <row r="143" spans="1:7" x14ac:dyDescent="0.3">
      <c r="A143" s="17" t="str">
        <f t="shared" si="3"/>
        <v>1. Déjeuner/Bagels</v>
      </c>
      <c r="B143" s="28" t="s">
        <v>41</v>
      </c>
      <c r="C143" s="19" t="s">
        <v>212</v>
      </c>
      <c r="D143" s="19" t="s">
        <v>312</v>
      </c>
      <c r="E143" s="19" t="s">
        <v>24</v>
      </c>
      <c r="F143" s="31">
        <v>10</v>
      </c>
      <c r="G143" s="19" t="s">
        <v>15</v>
      </c>
    </row>
    <row r="144" spans="1:7" x14ac:dyDescent="0.3">
      <c r="A144" s="17" t="str">
        <f t="shared" si="3"/>
        <v>2. Diner/Wrap - poulet</v>
      </c>
      <c r="B144" s="28" t="s">
        <v>67</v>
      </c>
      <c r="C144" s="19" t="s">
        <v>426</v>
      </c>
      <c r="D144" s="19" t="s">
        <v>245</v>
      </c>
      <c r="E144" s="19" t="s">
        <v>19</v>
      </c>
      <c r="F144" s="31">
        <v>1</v>
      </c>
      <c r="G144" s="19" t="s">
        <v>18</v>
      </c>
    </row>
    <row r="145" spans="1:7" x14ac:dyDescent="0.3">
      <c r="A145" s="17" t="str">
        <f t="shared" si="3"/>
        <v>2. Diner/Wrap - poulet</v>
      </c>
      <c r="B145" s="28" t="s">
        <v>67</v>
      </c>
      <c r="C145" s="19" t="s">
        <v>426</v>
      </c>
      <c r="D145" s="19" t="s">
        <v>427</v>
      </c>
      <c r="E145" s="19" t="s">
        <v>24</v>
      </c>
      <c r="F145" s="31">
        <v>30</v>
      </c>
      <c r="G145" s="19" t="s">
        <v>80</v>
      </c>
    </row>
    <row r="146" spans="1:7" x14ac:dyDescent="0.3">
      <c r="A146" s="17" t="str">
        <f t="shared" si="3"/>
        <v>2. Diner/Wrap - poulet</v>
      </c>
      <c r="B146" s="28" t="s">
        <v>67</v>
      </c>
      <c r="C146" s="19" t="s">
        <v>426</v>
      </c>
      <c r="D146" s="19" t="s">
        <v>407</v>
      </c>
      <c r="E146" s="19" t="s">
        <v>26</v>
      </c>
      <c r="F146" s="31">
        <v>0.1</v>
      </c>
      <c r="G146" s="19" t="s">
        <v>18</v>
      </c>
    </row>
    <row r="147" spans="1:7" x14ac:dyDescent="0.3">
      <c r="A147" s="17" t="str">
        <f t="shared" si="3"/>
        <v>2. Diner/Wrap - Jambon</v>
      </c>
      <c r="B147" s="28" t="s">
        <v>67</v>
      </c>
      <c r="C147" s="19" t="s">
        <v>443</v>
      </c>
      <c r="D147" s="19" t="s">
        <v>245</v>
      </c>
      <c r="E147" s="19" t="s">
        <v>19</v>
      </c>
      <c r="F147" s="31">
        <v>1.5</v>
      </c>
      <c r="G147" s="19" t="s">
        <v>18</v>
      </c>
    </row>
    <row r="148" spans="1:7" x14ac:dyDescent="0.3">
      <c r="A148" s="17" t="str">
        <f t="shared" si="3"/>
        <v>2. Diner/Wrap - Jambon</v>
      </c>
      <c r="B148" s="28" t="s">
        <v>67</v>
      </c>
      <c r="C148" s="19" t="s">
        <v>443</v>
      </c>
      <c r="D148" s="19" t="s">
        <v>126</v>
      </c>
      <c r="E148" s="19" t="s">
        <v>21</v>
      </c>
      <c r="F148" s="31">
        <v>75</v>
      </c>
      <c r="G148" s="19" t="s">
        <v>80</v>
      </c>
    </row>
    <row r="149" spans="1:7" x14ac:dyDescent="0.3">
      <c r="A149" s="17" t="str">
        <f t="shared" si="3"/>
        <v>2. Diner/Wrap - Jambon</v>
      </c>
      <c r="B149" s="28" t="s">
        <v>67</v>
      </c>
      <c r="C149" s="19" t="s">
        <v>443</v>
      </c>
      <c r="D149" s="19" t="s">
        <v>406</v>
      </c>
      <c r="E149" s="19" t="s">
        <v>14</v>
      </c>
      <c r="F149" s="31">
        <v>75</v>
      </c>
      <c r="G149" s="19" t="s">
        <v>80</v>
      </c>
    </row>
    <row r="150" spans="1:7" x14ac:dyDescent="0.3">
      <c r="A150" s="17" t="str">
        <f t="shared" si="3"/>
        <v>2. Diner/Wrap - Jambon</v>
      </c>
      <c r="B150" s="28" t="s">
        <v>67</v>
      </c>
      <c r="C150" s="19" t="s">
        <v>443</v>
      </c>
      <c r="D150" s="19" t="s">
        <v>81</v>
      </c>
      <c r="E150" s="19" t="s">
        <v>24</v>
      </c>
      <c r="F150" s="31">
        <v>15</v>
      </c>
      <c r="G150" s="19" t="s">
        <v>15</v>
      </c>
    </row>
    <row r="151" spans="1:7" x14ac:dyDescent="0.3">
      <c r="A151" s="17" t="str">
        <f t="shared" si="3"/>
        <v>2. Diner/Wrap - Jambon</v>
      </c>
      <c r="B151" s="28" t="s">
        <v>67</v>
      </c>
      <c r="C151" s="19" t="s">
        <v>443</v>
      </c>
      <c r="D151" s="19" t="s">
        <v>407</v>
      </c>
      <c r="E151" s="19" t="s">
        <v>26</v>
      </c>
      <c r="F151" s="31">
        <v>0.1</v>
      </c>
      <c r="G151" s="19" t="s">
        <v>18</v>
      </c>
    </row>
    <row r="152" spans="1:7" x14ac:dyDescent="0.3">
      <c r="A152" s="17" t="str">
        <f t="shared" si="3"/>
        <v>2. Diner/Wrap - Jambon</v>
      </c>
      <c r="B152" s="28" t="s">
        <v>67</v>
      </c>
      <c r="C152" s="19" t="s">
        <v>443</v>
      </c>
      <c r="D152" s="19" t="s">
        <v>28</v>
      </c>
      <c r="E152" s="19" t="s">
        <v>26</v>
      </c>
      <c r="F152" s="31">
        <v>0.30000000000000004</v>
      </c>
      <c r="G152" s="19" t="s">
        <v>18</v>
      </c>
    </row>
    <row r="153" spans="1:7" x14ac:dyDescent="0.3">
      <c r="A153" s="17" t="str">
        <f t="shared" si="3"/>
        <v>2. Diner/Wrap - Dinde</v>
      </c>
      <c r="B153" s="28" t="s">
        <v>67</v>
      </c>
      <c r="C153" s="19" t="s">
        <v>405</v>
      </c>
      <c r="D153" s="19" t="s">
        <v>245</v>
      </c>
      <c r="E153" s="19" t="s">
        <v>19</v>
      </c>
      <c r="F153" s="31">
        <v>1.5</v>
      </c>
      <c r="G153" s="19" t="s">
        <v>18</v>
      </c>
    </row>
    <row r="154" spans="1:7" x14ac:dyDescent="0.3">
      <c r="A154" s="17" t="str">
        <f t="shared" si="3"/>
        <v>2. Diner/Wrap - Dinde</v>
      </c>
      <c r="B154" s="28" t="s">
        <v>67</v>
      </c>
      <c r="C154" s="19" t="s">
        <v>405</v>
      </c>
      <c r="D154" s="19" t="s">
        <v>20</v>
      </c>
      <c r="E154" s="19" t="s">
        <v>21</v>
      </c>
      <c r="F154" s="31">
        <v>75</v>
      </c>
      <c r="G154" s="19" t="s">
        <v>80</v>
      </c>
    </row>
    <row r="155" spans="1:7" x14ac:dyDescent="0.3">
      <c r="A155" s="17" t="str">
        <f t="shared" si="3"/>
        <v>2. Diner/Wrap - Dinde</v>
      </c>
      <c r="B155" s="28" t="s">
        <v>67</v>
      </c>
      <c r="C155" s="19" t="s">
        <v>405</v>
      </c>
      <c r="D155" s="19" t="s">
        <v>406</v>
      </c>
      <c r="E155" s="19" t="s">
        <v>14</v>
      </c>
      <c r="F155" s="31">
        <v>75</v>
      </c>
      <c r="G155" s="19" t="s">
        <v>80</v>
      </c>
    </row>
    <row r="156" spans="1:7" x14ac:dyDescent="0.3">
      <c r="A156" s="17" t="str">
        <f t="shared" si="3"/>
        <v>2. Diner/Wrap - Dinde</v>
      </c>
      <c r="B156" s="28" t="s">
        <v>67</v>
      </c>
      <c r="C156" s="19" t="s">
        <v>405</v>
      </c>
      <c r="D156" s="19" t="s">
        <v>81</v>
      </c>
      <c r="E156" s="19" t="s">
        <v>24</v>
      </c>
      <c r="F156" s="31">
        <v>15</v>
      </c>
      <c r="G156" s="19" t="s">
        <v>15</v>
      </c>
    </row>
    <row r="157" spans="1:7" x14ac:dyDescent="0.3">
      <c r="A157" s="17" t="str">
        <f t="shared" si="3"/>
        <v>2. Diner/Wrap - Dinde</v>
      </c>
      <c r="B157" s="28" t="s">
        <v>67</v>
      </c>
      <c r="C157" s="19" t="s">
        <v>405</v>
      </c>
      <c r="D157" s="19" t="s">
        <v>407</v>
      </c>
      <c r="E157" s="19" t="s">
        <v>26</v>
      </c>
      <c r="F157" s="31">
        <v>0.1</v>
      </c>
      <c r="G157" s="19" t="s">
        <v>18</v>
      </c>
    </row>
    <row r="158" spans="1:7" x14ac:dyDescent="0.3">
      <c r="A158" s="17" t="str">
        <f t="shared" si="3"/>
        <v>2. Diner/Wrap - Dinde</v>
      </c>
      <c r="B158" s="28" t="s">
        <v>67</v>
      </c>
      <c r="C158" s="19" t="s">
        <v>405</v>
      </c>
      <c r="D158" s="19" t="s">
        <v>28</v>
      </c>
      <c r="E158" s="19" t="s">
        <v>26</v>
      </c>
      <c r="F158" s="31">
        <v>0.25</v>
      </c>
      <c r="G158" s="19" t="s">
        <v>18</v>
      </c>
    </row>
    <row r="159" spans="1:7" x14ac:dyDescent="0.3">
      <c r="A159" s="17" t="str">
        <f t="shared" si="3"/>
        <v>2. Diner/Tosititos</v>
      </c>
      <c r="B159" s="28" t="s">
        <v>67</v>
      </c>
      <c r="C159" s="19" t="s">
        <v>388</v>
      </c>
      <c r="D159" s="19" t="s">
        <v>131</v>
      </c>
      <c r="E159" s="19" t="s">
        <v>19</v>
      </c>
      <c r="F159" s="31">
        <v>40</v>
      </c>
      <c r="G159" s="19" t="s">
        <v>80</v>
      </c>
    </row>
    <row r="160" spans="1:7" x14ac:dyDescent="0.3">
      <c r="A160" s="17" t="str">
        <f t="shared" si="3"/>
        <v>2. Diner/Tosititos</v>
      </c>
      <c r="B160" s="28" t="s">
        <v>67</v>
      </c>
      <c r="C160" s="19" t="s">
        <v>388</v>
      </c>
      <c r="D160" s="19" t="s">
        <v>137</v>
      </c>
      <c r="E160" s="19" t="s">
        <v>24</v>
      </c>
      <c r="F160" s="31">
        <v>125</v>
      </c>
      <c r="G160" s="19" t="s">
        <v>15</v>
      </c>
    </row>
    <row r="161" spans="1:7" x14ac:dyDescent="0.3">
      <c r="A161" s="17" t="str">
        <f t="shared" si="3"/>
        <v>2. Diner/Tosititos</v>
      </c>
      <c r="B161" s="28" t="s">
        <v>67</v>
      </c>
      <c r="C161" s="19" t="s">
        <v>388</v>
      </c>
      <c r="D161" s="19" t="s">
        <v>190</v>
      </c>
      <c r="E161" s="19" t="s">
        <v>14</v>
      </c>
      <c r="F161" s="31">
        <v>30</v>
      </c>
      <c r="G161" s="19" t="s">
        <v>80</v>
      </c>
    </row>
    <row r="162" spans="1:7" x14ac:dyDescent="0.3">
      <c r="A162" s="17" t="str">
        <f t="shared" si="3"/>
        <v>2. Diner/Spaghetti</v>
      </c>
      <c r="B162" s="28" t="s">
        <v>67</v>
      </c>
      <c r="C162" s="19" t="s">
        <v>44</v>
      </c>
      <c r="D162" s="19" t="s">
        <v>44</v>
      </c>
      <c r="E162" s="19" t="s">
        <v>19</v>
      </c>
      <c r="F162" s="31">
        <v>0.11</v>
      </c>
      <c r="G162" s="19" t="s">
        <v>253</v>
      </c>
    </row>
    <row r="163" spans="1:7" x14ac:dyDescent="0.3">
      <c r="A163" s="17" t="str">
        <f t="shared" si="3"/>
        <v>2. Diner/Snacks</v>
      </c>
      <c r="B163" s="28" t="s">
        <v>67</v>
      </c>
      <c r="C163" s="19" t="s">
        <v>335</v>
      </c>
      <c r="D163" s="19" t="s">
        <v>357</v>
      </c>
      <c r="E163" s="19" t="s">
        <v>24</v>
      </c>
      <c r="F163" s="31">
        <v>0.04</v>
      </c>
      <c r="G163" s="19" t="s">
        <v>136</v>
      </c>
    </row>
    <row r="164" spans="1:7" x14ac:dyDescent="0.3">
      <c r="A164" s="17" t="str">
        <f t="shared" si="3"/>
        <v>2. Diner/Snacks</v>
      </c>
      <c r="B164" s="28" t="s">
        <v>67</v>
      </c>
      <c r="C164" s="19" t="s">
        <v>335</v>
      </c>
      <c r="D164" s="19" t="s">
        <v>336</v>
      </c>
      <c r="E164" s="19" t="s">
        <v>26</v>
      </c>
      <c r="F164" s="31">
        <v>40</v>
      </c>
      <c r="G164" s="19" t="s">
        <v>22</v>
      </c>
    </row>
    <row r="165" spans="1:7" x14ac:dyDescent="0.3">
      <c r="A165" s="17" t="str">
        <f t="shared" si="3"/>
        <v>2. Diner/Snacks</v>
      </c>
      <c r="B165" s="28" t="s">
        <v>67</v>
      </c>
      <c r="C165" s="19" t="s">
        <v>335</v>
      </c>
      <c r="D165" s="19" t="s">
        <v>143</v>
      </c>
      <c r="E165" s="19" t="s">
        <v>24</v>
      </c>
      <c r="F165" s="31">
        <v>0.25</v>
      </c>
      <c r="G165" s="19" t="s">
        <v>316</v>
      </c>
    </row>
    <row r="166" spans="1:7" x14ac:dyDescent="0.3">
      <c r="A166" s="17" t="str">
        <f t="shared" si="3"/>
        <v>2. Diner/Snacks</v>
      </c>
      <c r="B166" s="28" t="s">
        <v>67</v>
      </c>
      <c r="C166" s="19" t="s">
        <v>335</v>
      </c>
      <c r="D166" s="19" t="s">
        <v>337</v>
      </c>
      <c r="E166" s="19" t="s">
        <v>26</v>
      </c>
      <c r="F166" s="31">
        <v>0.06</v>
      </c>
      <c r="G166" s="19" t="s">
        <v>18</v>
      </c>
    </row>
    <row r="167" spans="1:7" x14ac:dyDescent="0.3">
      <c r="A167" s="17" t="str">
        <f t="shared" si="3"/>
        <v>2. Diner/Sauce tomate</v>
      </c>
      <c r="B167" s="28" t="s">
        <v>67</v>
      </c>
      <c r="C167" s="19" t="s">
        <v>46</v>
      </c>
      <c r="D167" s="19" t="s">
        <v>254</v>
      </c>
      <c r="E167" s="19" t="s">
        <v>21</v>
      </c>
      <c r="F167" s="31">
        <v>0.08</v>
      </c>
      <c r="G167" s="19" t="s">
        <v>253</v>
      </c>
    </row>
    <row r="168" spans="1:7" x14ac:dyDescent="0.3">
      <c r="A168" s="17" t="str">
        <f t="shared" si="3"/>
        <v>2. Diner/Sauce tomate</v>
      </c>
      <c r="B168" s="28" t="s">
        <v>67</v>
      </c>
      <c r="C168" s="19" t="s">
        <v>46</v>
      </c>
      <c r="D168" s="19" t="s">
        <v>46</v>
      </c>
      <c r="E168" s="19" t="s">
        <v>24</v>
      </c>
      <c r="F168" s="31">
        <v>0.16</v>
      </c>
      <c r="G168" s="19" t="s">
        <v>146</v>
      </c>
    </row>
    <row r="169" spans="1:7" x14ac:dyDescent="0.3">
      <c r="A169" s="17" t="str">
        <f t="shared" si="3"/>
        <v>2. Diner/Sauce tomate</v>
      </c>
      <c r="B169" s="28" t="s">
        <v>67</v>
      </c>
      <c r="C169" s="19" t="s">
        <v>46</v>
      </c>
      <c r="D169" s="19" t="s">
        <v>31</v>
      </c>
      <c r="E169" s="19" t="s">
        <v>24</v>
      </c>
      <c r="F169" s="31">
        <v>0.01</v>
      </c>
      <c r="G169" s="19" t="s">
        <v>22</v>
      </c>
    </row>
    <row r="170" spans="1:7" x14ac:dyDescent="0.3">
      <c r="A170" s="17" t="str">
        <f t="shared" si="3"/>
        <v>2. Diner/Sauce tomate</v>
      </c>
      <c r="B170" s="28" t="s">
        <v>67</v>
      </c>
      <c r="C170" s="19" t="s">
        <v>46</v>
      </c>
      <c r="D170" s="19" t="s">
        <v>255</v>
      </c>
      <c r="E170" s="19" t="s">
        <v>26</v>
      </c>
      <c r="F170" s="31">
        <v>0.05</v>
      </c>
      <c r="G170" s="19" t="s">
        <v>18</v>
      </c>
    </row>
    <row r="171" spans="1:7" x14ac:dyDescent="0.3">
      <c r="A171" s="17" t="str">
        <f t="shared" si="3"/>
        <v>2. Diner/Sauce tomate</v>
      </c>
      <c r="B171" s="28" t="s">
        <v>67</v>
      </c>
      <c r="C171" s="19" t="s">
        <v>46</v>
      </c>
      <c r="D171" s="19" t="s">
        <v>256</v>
      </c>
      <c r="E171" s="19" t="s">
        <v>24</v>
      </c>
      <c r="F171" s="31"/>
    </row>
    <row r="172" spans="1:7" x14ac:dyDescent="0.3">
      <c r="A172" s="17" t="str">
        <f t="shared" si="3"/>
        <v>2. Diner/Sauce tomate</v>
      </c>
      <c r="B172" s="28" t="s">
        <v>67</v>
      </c>
      <c r="C172" s="19" t="s">
        <v>46</v>
      </c>
      <c r="D172" s="19" t="s">
        <v>257</v>
      </c>
      <c r="E172" s="19" t="s">
        <v>14</v>
      </c>
      <c r="F172" s="31">
        <v>0.01</v>
      </c>
      <c r="G172" s="19" t="s">
        <v>18</v>
      </c>
    </row>
    <row r="173" spans="1:7" x14ac:dyDescent="0.3">
      <c r="A173" s="17" t="str">
        <f t="shared" si="3"/>
        <v>2. Diner/Sauce tomate</v>
      </c>
      <c r="B173" s="28" t="s">
        <v>67</v>
      </c>
      <c r="C173" s="19" t="s">
        <v>46</v>
      </c>
      <c r="D173" s="19" t="s">
        <v>258</v>
      </c>
      <c r="E173" s="19" t="s">
        <v>24</v>
      </c>
      <c r="F173" s="31">
        <v>0.01</v>
      </c>
      <c r="G173" s="19" t="s">
        <v>18</v>
      </c>
    </row>
    <row r="174" spans="1:7" x14ac:dyDescent="0.3">
      <c r="A174" s="17" t="str">
        <f t="shared" si="3"/>
        <v>2. Diner/Sauce tomate</v>
      </c>
      <c r="B174" s="28" t="s">
        <v>67</v>
      </c>
      <c r="C174" s="19" t="s">
        <v>46</v>
      </c>
      <c r="D174" s="19" t="s">
        <v>259</v>
      </c>
      <c r="E174" s="19" t="s">
        <v>24</v>
      </c>
      <c r="F174" s="31"/>
    </row>
    <row r="175" spans="1:7" x14ac:dyDescent="0.3">
      <c r="A175" s="17" t="str">
        <f t="shared" si="3"/>
        <v>2. Diner/Sandwich Wrap</v>
      </c>
      <c r="B175" s="28" t="s">
        <v>67</v>
      </c>
      <c r="C175" s="19" t="s">
        <v>68</v>
      </c>
      <c r="D175" s="19" t="s">
        <v>69</v>
      </c>
      <c r="E175" s="19" t="s">
        <v>19</v>
      </c>
      <c r="F175" s="31">
        <v>2</v>
      </c>
      <c r="G175" s="19" t="s">
        <v>18</v>
      </c>
    </row>
    <row r="176" spans="1:7" x14ac:dyDescent="0.3">
      <c r="A176" s="17" t="str">
        <f t="shared" si="3"/>
        <v>2. Diner/Sandwich Wrap</v>
      </c>
      <c r="B176" s="28" t="s">
        <v>67</v>
      </c>
      <c r="C176" s="19" t="s">
        <v>68</v>
      </c>
      <c r="D176" s="19" t="s">
        <v>20</v>
      </c>
      <c r="E176" s="19" t="s">
        <v>21</v>
      </c>
      <c r="F176" s="31">
        <v>5</v>
      </c>
      <c r="G176" s="19" t="s">
        <v>70</v>
      </c>
    </row>
    <row r="177" spans="1:7" x14ac:dyDescent="0.3">
      <c r="A177" s="17" t="str">
        <f t="shared" si="3"/>
        <v>2. Diner/Sandwich Wrap</v>
      </c>
      <c r="B177" s="28" t="s">
        <v>67</v>
      </c>
      <c r="C177" s="19" t="s">
        <v>68</v>
      </c>
      <c r="D177" s="19" t="s">
        <v>71</v>
      </c>
      <c r="E177" s="19" t="s">
        <v>26</v>
      </c>
      <c r="F177" s="31">
        <v>2.5</v>
      </c>
      <c r="G177" s="19" t="s">
        <v>72</v>
      </c>
    </row>
    <row r="178" spans="1:7" x14ac:dyDescent="0.3">
      <c r="A178" s="17" t="str">
        <f t="shared" si="3"/>
        <v>2. Diner/Sandwich Wrap</v>
      </c>
      <c r="B178" s="28" t="s">
        <v>67</v>
      </c>
      <c r="C178" s="19" t="s">
        <v>68</v>
      </c>
      <c r="D178" s="19" t="s">
        <v>28</v>
      </c>
      <c r="E178" s="19" t="s">
        <v>26</v>
      </c>
      <c r="F178" s="31">
        <v>0.33</v>
      </c>
      <c r="G178" s="19" t="s">
        <v>18</v>
      </c>
    </row>
    <row r="179" spans="1:7" x14ac:dyDescent="0.3">
      <c r="A179" s="17" t="str">
        <f t="shared" si="3"/>
        <v>2. Diner/Sandwich Wrap</v>
      </c>
      <c r="B179" s="28" t="s">
        <v>67</v>
      </c>
      <c r="C179" s="19" t="s">
        <v>68</v>
      </c>
      <c r="D179" s="19" t="s">
        <v>23</v>
      </c>
      <c r="E179" s="19" t="s">
        <v>24</v>
      </c>
      <c r="F179" s="31">
        <v>15</v>
      </c>
      <c r="G179" s="19" t="s">
        <v>15</v>
      </c>
    </row>
    <row r="180" spans="1:7" x14ac:dyDescent="0.3">
      <c r="A180" s="17" t="str">
        <f t="shared" si="3"/>
        <v>2. Diner/Sandwich thon</v>
      </c>
      <c r="B180" s="28" t="s">
        <v>67</v>
      </c>
      <c r="C180" s="19" t="s">
        <v>413</v>
      </c>
      <c r="D180" s="19" t="s">
        <v>38</v>
      </c>
      <c r="E180" s="19" t="s">
        <v>19</v>
      </c>
      <c r="F180" s="31">
        <v>2</v>
      </c>
      <c r="G180" s="19" t="s">
        <v>18</v>
      </c>
    </row>
    <row r="181" spans="1:7" x14ac:dyDescent="0.3">
      <c r="A181" s="17" t="str">
        <f t="shared" si="3"/>
        <v>2. Diner/Sandwich thon</v>
      </c>
      <c r="B181" s="28" t="s">
        <v>67</v>
      </c>
      <c r="C181" s="19" t="s">
        <v>413</v>
      </c>
      <c r="D181" s="19" t="s">
        <v>81</v>
      </c>
      <c r="E181" s="19" t="s">
        <v>24</v>
      </c>
      <c r="F181" s="31">
        <v>25</v>
      </c>
      <c r="G181" s="19" t="s">
        <v>15</v>
      </c>
    </row>
    <row r="182" spans="1:7" x14ac:dyDescent="0.3">
      <c r="A182" s="17" t="str">
        <f t="shared" si="3"/>
        <v>2. Diner/Sandwich thon</v>
      </c>
      <c r="B182" s="28" t="s">
        <v>67</v>
      </c>
      <c r="C182" s="19" t="s">
        <v>413</v>
      </c>
      <c r="D182" s="19" t="s">
        <v>295</v>
      </c>
      <c r="E182" s="19" t="s">
        <v>26</v>
      </c>
      <c r="F182" s="31">
        <v>3.3333333333333333E-2</v>
      </c>
      <c r="G182" s="19" t="s">
        <v>18</v>
      </c>
    </row>
    <row r="183" spans="1:7" x14ac:dyDescent="0.3">
      <c r="A183" s="17" t="str">
        <f t="shared" si="3"/>
        <v>2. Diner/Sandwich thon</v>
      </c>
      <c r="B183" s="28" t="s">
        <v>67</v>
      </c>
      <c r="C183" s="19" t="s">
        <v>413</v>
      </c>
      <c r="D183" s="19" t="s">
        <v>414</v>
      </c>
      <c r="E183" s="19" t="s">
        <v>26</v>
      </c>
      <c r="F183" s="31">
        <v>0.16666666666666666</v>
      </c>
      <c r="G183" s="19" t="s">
        <v>18</v>
      </c>
    </row>
    <row r="184" spans="1:7" x14ac:dyDescent="0.3">
      <c r="A184" s="17" t="str">
        <f t="shared" si="3"/>
        <v>2. Diner/Sandwich thon</v>
      </c>
      <c r="B184" s="28" t="s">
        <v>67</v>
      </c>
      <c r="C184" s="19" t="s">
        <v>413</v>
      </c>
      <c r="D184" s="19" t="s">
        <v>30</v>
      </c>
      <c r="E184" s="19" t="s">
        <v>26</v>
      </c>
      <c r="F184" s="31">
        <v>3.3333333333333333E-2</v>
      </c>
      <c r="G184" s="19" t="s">
        <v>18</v>
      </c>
    </row>
    <row r="185" spans="1:7" x14ac:dyDescent="0.3">
      <c r="A185" s="17" t="str">
        <f t="shared" si="3"/>
        <v>2. Diner/Sandwich thon</v>
      </c>
      <c r="B185" s="28" t="s">
        <v>67</v>
      </c>
      <c r="C185" s="19" t="s">
        <v>413</v>
      </c>
      <c r="D185" s="19" t="s">
        <v>294</v>
      </c>
      <c r="E185" s="19" t="s">
        <v>24</v>
      </c>
      <c r="F185" s="31">
        <v>120</v>
      </c>
      <c r="G185" s="19" t="s">
        <v>80</v>
      </c>
    </row>
    <row r="186" spans="1:7" x14ac:dyDescent="0.3">
      <c r="A186" s="17" t="str">
        <f t="shared" si="3"/>
        <v>2. Diner/Salade pâtes</v>
      </c>
      <c r="B186" s="28" t="s">
        <v>67</v>
      </c>
      <c r="C186" s="19" t="s">
        <v>363</v>
      </c>
      <c r="D186" s="19" t="s">
        <v>79</v>
      </c>
      <c r="E186" s="19" t="s">
        <v>19</v>
      </c>
      <c r="F186" s="31">
        <v>60</v>
      </c>
      <c r="G186" s="19" t="s">
        <v>80</v>
      </c>
    </row>
    <row r="187" spans="1:7" x14ac:dyDescent="0.3">
      <c r="A187" s="17" t="str">
        <f t="shared" si="3"/>
        <v>2. Diner/Salade pâtes</v>
      </c>
      <c r="B187" s="28" t="s">
        <v>67</v>
      </c>
      <c r="C187" s="19" t="s">
        <v>363</v>
      </c>
      <c r="D187" s="19" t="s">
        <v>81</v>
      </c>
      <c r="E187" s="19" t="s">
        <v>24</v>
      </c>
      <c r="F187" s="31">
        <v>25</v>
      </c>
      <c r="G187" s="19" t="s">
        <v>15</v>
      </c>
    </row>
    <row r="188" spans="1:7" x14ac:dyDescent="0.3">
      <c r="A188" s="17" t="str">
        <f t="shared" ref="A188:A248" si="4">CONCATENATE(B188,"/",C188)</f>
        <v>2. Diner/Salade pâtes</v>
      </c>
      <c r="B188" s="28" t="s">
        <v>67</v>
      </c>
      <c r="C188" s="19" t="s">
        <v>363</v>
      </c>
      <c r="D188" s="19" t="s">
        <v>82</v>
      </c>
      <c r="E188" s="19" t="s">
        <v>26</v>
      </c>
      <c r="F188" s="31">
        <v>0.17</v>
      </c>
      <c r="G188" s="19" t="s">
        <v>83</v>
      </c>
    </row>
    <row r="189" spans="1:7" x14ac:dyDescent="0.3">
      <c r="A189" s="17" t="str">
        <f t="shared" si="4"/>
        <v>2. Diner/Salade pâtes</v>
      </c>
      <c r="B189" s="28" t="s">
        <v>67</v>
      </c>
      <c r="C189" s="19" t="s">
        <v>363</v>
      </c>
      <c r="D189" s="19" t="s">
        <v>84</v>
      </c>
      <c r="E189" s="19" t="s">
        <v>26</v>
      </c>
      <c r="F189" s="31">
        <v>0.17</v>
      </c>
      <c r="G189" s="19" t="s">
        <v>83</v>
      </c>
    </row>
    <row r="190" spans="1:7" x14ac:dyDescent="0.3">
      <c r="A190" s="17" t="str">
        <f t="shared" si="4"/>
        <v>2. Diner/Salade pâtes</v>
      </c>
      <c r="B190" s="28" t="s">
        <v>67</v>
      </c>
      <c r="C190" s="19" t="s">
        <v>363</v>
      </c>
      <c r="D190" s="19" t="s">
        <v>85</v>
      </c>
      <c r="E190" s="19" t="s">
        <v>26</v>
      </c>
      <c r="F190" s="31">
        <v>0.2</v>
      </c>
      <c r="G190" s="19" t="s">
        <v>83</v>
      </c>
    </row>
    <row r="191" spans="1:7" x14ac:dyDescent="0.3">
      <c r="A191" s="17" t="str">
        <f t="shared" si="4"/>
        <v>2. Diner/Salade pâtes</v>
      </c>
      <c r="B191" s="28" t="s">
        <v>67</v>
      </c>
      <c r="C191" s="19" t="s">
        <v>363</v>
      </c>
      <c r="D191" s="19" t="s">
        <v>86</v>
      </c>
      <c r="E191" s="19" t="s">
        <v>26</v>
      </c>
      <c r="F191" s="31">
        <v>0.17</v>
      </c>
      <c r="G191" s="19" t="s">
        <v>83</v>
      </c>
    </row>
    <row r="192" spans="1:7" x14ac:dyDescent="0.3">
      <c r="A192" s="17" t="str">
        <f t="shared" si="4"/>
        <v>2. Diner/Salade de poulet</v>
      </c>
      <c r="B192" s="28" t="s">
        <v>67</v>
      </c>
      <c r="C192" s="19" t="s">
        <v>456</v>
      </c>
      <c r="D192" s="19" t="s">
        <v>85</v>
      </c>
      <c r="E192" s="19" t="s">
        <v>26</v>
      </c>
      <c r="F192" s="31">
        <v>0.2</v>
      </c>
      <c r="G192" s="19" t="s">
        <v>83</v>
      </c>
    </row>
    <row r="193" spans="1:7" x14ac:dyDescent="0.3">
      <c r="A193" s="17" t="str">
        <f t="shared" si="4"/>
        <v>2. Diner/Salade de poulet</v>
      </c>
      <c r="B193" s="28" t="s">
        <v>67</v>
      </c>
      <c r="C193" s="19" t="s">
        <v>456</v>
      </c>
      <c r="D193" s="19" t="s">
        <v>407</v>
      </c>
      <c r="E193" s="19" t="s">
        <v>26</v>
      </c>
      <c r="F193" s="31">
        <v>2</v>
      </c>
      <c r="G193" s="19" t="s">
        <v>83</v>
      </c>
    </row>
    <row r="194" spans="1:7" x14ac:dyDescent="0.3">
      <c r="A194" s="17" t="str">
        <f t="shared" si="4"/>
        <v>2. Diner/Salade de poulet</v>
      </c>
      <c r="B194" s="28" t="s">
        <v>67</v>
      </c>
      <c r="C194" s="19" t="s">
        <v>456</v>
      </c>
      <c r="D194" s="19" t="s">
        <v>174</v>
      </c>
      <c r="E194" s="19" t="s">
        <v>26</v>
      </c>
      <c r="F194" s="31" t="s">
        <v>431</v>
      </c>
      <c r="G194" s="19" t="s">
        <v>83</v>
      </c>
    </row>
    <row r="195" spans="1:7" x14ac:dyDescent="0.3">
      <c r="A195" s="17" t="str">
        <f t="shared" si="4"/>
        <v>2. Diner/Salade de poulet</v>
      </c>
      <c r="B195" s="28" t="s">
        <v>67</v>
      </c>
      <c r="C195" s="19" t="s">
        <v>456</v>
      </c>
      <c r="D195" s="19" t="s">
        <v>457</v>
      </c>
      <c r="E195" s="19" t="s">
        <v>24</v>
      </c>
      <c r="F195" s="31">
        <v>30</v>
      </c>
      <c r="G195" s="19" t="s">
        <v>15</v>
      </c>
    </row>
    <row r="196" spans="1:7" x14ac:dyDescent="0.3">
      <c r="A196" s="17" t="str">
        <f t="shared" si="4"/>
        <v>2. Diner/Salade de poulet</v>
      </c>
      <c r="B196" s="28" t="s">
        <v>67</v>
      </c>
      <c r="C196" s="19" t="s">
        <v>456</v>
      </c>
      <c r="D196" s="19" t="s">
        <v>187</v>
      </c>
      <c r="E196" s="19" t="s">
        <v>21</v>
      </c>
      <c r="F196" s="31">
        <v>170</v>
      </c>
      <c r="G196" s="19" t="s">
        <v>80</v>
      </c>
    </row>
    <row r="197" spans="1:7" x14ac:dyDescent="0.3">
      <c r="A197" s="17" t="str">
        <f t="shared" si="4"/>
        <v>2. Diner/Salade de pâtes</v>
      </c>
      <c r="B197" s="28" t="s">
        <v>67</v>
      </c>
      <c r="C197" s="19" t="s">
        <v>78</v>
      </c>
      <c r="D197" s="19" t="s">
        <v>79</v>
      </c>
      <c r="E197" s="19" t="s">
        <v>19</v>
      </c>
      <c r="F197" s="31">
        <v>60</v>
      </c>
      <c r="G197" s="19" t="s">
        <v>80</v>
      </c>
    </row>
    <row r="198" spans="1:7" x14ac:dyDescent="0.3">
      <c r="A198" s="17" t="str">
        <f t="shared" si="4"/>
        <v>2. Diner/Salade de pâtes</v>
      </c>
      <c r="B198" s="28" t="s">
        <v>67</v>
      </c>
      <c r="C198" s="19" t="s">
        <v>78</v>
      </c>
      <c r="D198" s="19" t="s">
        <v>81</v>
      </c>
      <c r="E198" s="19" t="s">
        <v>24</v>
      </c>
      <c r="F198" s="31">
        <v>25</v>
      </c>
      <c r="G198" s="19" t="s">
        <v>15</v>
      </c>
    </row>
    <row r="199" spans="1:7" x14ac:dyDescent="0.3">
      <c r="A199" s="17" t="str">
        <f t="shared" si="4"/>
        <v>2. Diner/Salade de pâtes</v>
      </c>
      <c r="B199" s="28" t="s">
        <v>67</v>
      </c>
      <c r="C199" s="19" t="s">
        <v>78</v>
      </c>
      <c r="D199" s="19" t="s">
        <v>82</v>
      </c>
      <c r="E199" s="19" t="s">
        <v>26</v>
      </c>
      <c r="F199" s="31">
        <v>0.17</v>
      </c>
      <c r="G199" s="19" t="s">
        <v>83</v>
      </c>
    </row>
    <row r="200" spans="1:7" x14ac:dyDescent="0.3">
      <c r="A200" s="17" t="str">
        <f t="shared" si="4"/>
        <v>2. Diner/Salade de pâtes</v>
      </c>
      <c r="B200" s="28" t="s">
        <v>67</v>
      </c>
      <c r="C200" s="19" t="s">
        <v>78</v>
      </c>
      <c r="D200" s="19" t="s">
        <v>84</v>
      </c>
      <c r="E200" s="19" t="s">
        <v>26</v>
      </c>
      <c r="F200" s="31">
        <v>0.17</v>
      </c>
      <c r="G200" s="19" t="s">
        <v>83</v>
      </c>
    </row>
    <row r="201" spans="1:7" x14ac:dyDescent="0.3">
      <c r="A201" s="17" t="str">
        <f t="shared" si="4"/>
        <v>2. Diner/Salade de pâtes</v>
      </c>
      <c r="B201" s="28" t="s">
        <v>67</v>
      </c>
      <c r="C201" s="19" t="s">
        <v>78</v>
      </c>
      <c r="D201" s="19" t="s">
        <v>85</v>
      </c>
      <c r="E201" s="19" t="s">
        <v>26</v>
      </c>
      <c r="F201" s="31">
        <v>0.2</v>
      </c>
      <c r="G201" s="19" t="s">
        <v>83</v>
      </c>
    </row>
    <row r="202" spans="1:7" x14ac:dyDescent="0.3">
      <c r="A202" s="17" t="str">
        <f t="shared" si="4"/>
        <v>2. Diner/Salade de pâtes</v>
      </c>
      <c r="B202" s="28" t="s">
        <v>67</v>
      </c>
      <c r="C202" s="19" t="s">
        <v>78</v>
      </c>
      <c r="D202" s="19" t="s">
        <v>86</v>
      </c>
      <c r="E202" s="19" t="s">
        <v>26</v>
      </c>
      <c r="F202" s="31">
        <v>0.17</v>
      </c>
      <c r="G202" s="19" t="s">
        <v>83</v>
      </c>
    </row>
    <row r="203" spans="1:7" x14ac:dyDescent="0.3">
      <c r="A203" s="17" t="str">
        <f t="shared" si="4"/>
        <v>2. Diner/Salade de pâtes</v>
      </c>
      <c r="B203" s="28" t="s">
        <v>67</v>
      </c>
      <c r="C203" s="19" t="s">
        <v>78</v>
      </c>
      <c r="D203" s="19" t="s">
        <v>293</v>
      </c>
      <c r="E203" s="19" t="s">
        <v>19</v>
      </c>
      <c r="F203" s="31">
        <v>8.5</v>
      </c>
      <c r="G203" s="19" t="s">
        <v>22</v>
      </c>
    </row>
    <row r="204" spans="1:7" x14ac:dyDescent="0.3">
      <c r="A204" s="17" t="str">
        <f t="shared" si="4"/>
        <v>2. Diner/Salade de pâtes</v>
      </c>
      <c r="B204" s="28" t="s">
        <v>67</v>
      </c>
      <c r="C204" s="19" t="s">
        <v>78</v>
      </c>
      <c r="D204" s="19" t="s">
        <v>294</v>
      </c>
      <c r="E204" s="19" t="s">
        <v>21</v>
      </c>
      <c r="F204" s="31">
        <v>50</v>
      </c>
      <c r="G204" s="19" t="s">
        <v>22</v>
      </c>
    </row>
    <row r="205" spans="1:7" x14ac:dyDescent="0.3">
      <c r="A205" s="17" t="str">
        <f t="shared" si="4"/>
        <v>2. Diner/Salade de pâtes</v>
      </c>
      <c r="B205" s="28" t="s">
        <v>67</v>
      </c>
      <c r="C205" s="19" t="s">
        <v>78</v>
      </c>
      <c r="D205" s="19" t="s">
        <v>295</v>
      </c>
      <c r="E205" s="19" t="s">
        <v>26</v>
      </c>
      <c r="F205" s="31">
        <v>0.33300000000000002</v>
      </c>
      <c r="G205" s="19" t="s">
        <v>18</v>
      </c>
    </row>
    <row r="206" spans="1:7" x14ac:dyDescent="0.3">
      <c r="A206" s="17" t="str">
        <f t="shared" si="4"/>
        <v>2. Diner/Salade de pâtes</v>
      </c>
      <c r="B206" s="28" t="s">
        <v>67</v>
      </c>
      <c r="C206" s="19" t="s">
        <v>78</v>
      </c>
      <c r="D206" s="19" t="s">
        <v>296</v>
      </c>
      <c r="E206" s="19" t="s">
        <v>24</v>
      </c>
      <c r="F206" s="31">
        <v>1.0309278350515464E-2</v>
      </c>
      <c r="G206" s="19" t="s">
        <v>18</v>
      </c>
    </row>
    <row r="207" spans="1:7" x14ac:dyDescent="0.3">
      <c r="A207" s="17" t="str">
        <f t="shared" si="4"/>
        <v>2. Diner/Salade de pâtes</v>
      </c>
      <c r="B207" s="28" t="s">
        <v>67</v>
      </c>
      <c r="C207" s="19" t="s">
        <v>78</v>
      </c>
      <c r="D207" s="19" t="s">
        <v>23</v>
      </c>
      <c r="E207" s="19" t="s">
        <v>24</v>
      </c>
      <c r="F207" s="31">
        <v>41</v>
      </c>
      <c r="G207" s="19" t="s">
        <v>15</v>
      </c>
    </row>
    <row r="208" spans="1:7" x14ac:dyDescent="0.3">
      <c r="A208" s="17" t="str">
        <f t="shared" si="4"/>
        <v>2. Diner/Salade de pâtes</v>
      </c>
      <c r="B208" s="28" t="s">
        <v>67</v>
      </c>
      <c r="C208" s="19" t="s">
        <v>78</v>
      </c>
      <c r="D208" s="19" t="s">
        <v>28</v>
      </c>
      <c r="E208" s="19" t="s">
        <v>26</v>
      </c>
      <c r="F208" s="31">
        <v>0.33</v>
      </c>
      <c r="G208" s="19" t="s">
        <v>18</v>
      </c>
    </row>
    <row r="209" spans="1:7" x14ac:dyDescent="0.3">
      <c r="A209" s="17" t="str">
        <f t="shared" si="4"/>
        <v>2. Diner/Salade de pâtes</v>
      </c>
      <c r="B209" s="28" t="s">
        <v>67</v>
      </c>
      <c r="C209" s="19" t="s">
        <v>78</v>
      </c>
      <c r="D209" s="19" t="s">
        <v>194</v>
      </c>
      <c r="E209" s="19" t="s">
        <v>19</v>
      </c>
      <c r="F209" s="31">
        <v>1.5</v>
      </c>
      <c r="G209" s="19" t="s">
        <v>18</v>
      </c>
    </row>
    <row r="210" spans="1:7" x14ac:dyDescent="0.3">
      <c r="A210" s="17" t="str">
        <f t="shared" si="4"/>
        <v>2. Diner/Salade</v>
      </c>
      <c r="B210" s="28" t="s">
        <v>67</v>
      </c>
      <c r="C210" s="19" t="s">
        <v>91</v>
      </c>
      <c r="D210" s="19" t="s">
        <v>246</v>
      </c>
      <c r="E210" s="19" t="s">
        <v>26</v>
      </c>
      <c r="F210" s="31">
        <v>0.1</v>
      </c>
      <c r="G210" s="19" t="s">
        <v>18</v>
      </c>
    </row>
    <row r="211" spans="1:7" x14ac:dyDescent="0.3">
      <c r="A211" s="17" t="str">
        <f t="shared" si="4"/>
        <v>2. Diner/Salade</v>
      </c>
      <c r="B211" s="28" t="s">
        <v>67</v>
      </c>
      <c r="C211" s="19" t="s">
        <v>91</v>
      </c>
      <c r="D211" s="19" t="s">
        <v>174</v>
      </c>
      <c r="E211" s="19" t="s">
        <v>26</v>
      </c>
      <c r="F211" s="31">
        <v>0.3</v>
      </c>
      <c r="G211" s="19" t="s">
        <v>18</v>
      </c>
    </row>
    <row r="212" spans="1:7" x14ac:dyDescent="0.3">
      <c r="A212" s="17" t="str">
        <f t="shared" si="4"/>
        <v>2. Diner/Salade</v>
      </c>
      <c r="B212" s="28" t="s">
        <v>67</v>
      </c>
      <c r="C212" s="19" t="s">
        <v>91</v>
      </c>
      <c r="D212" s="19" t="s">
        <v>260</v>
      </c>
      <c r="E212" s="19" t="s">
        <v>26</v>
      </c>
      <c r="F212" s="31">
        <v>0.2</v>
      </c>
      <c r="G212" s="19" t="s">
        <v>18</v>
      </c>
    </row>
    <row r="213" spans="1:7" x14ac:dyDescent="0.3">
      <c r="A213" s="17" t="str">
        <f t="shared" si="4"/>
        <v>2. Diner/Salade</v>
      </c>
      <c r="B213" s="28" t="s">
        <v>67</v>
      </c>
      <c r="C213" s="19" t="s">
        <v>91</v>
      </c>
      <c r="D213" s="19" t="s">
        <v>261</v>
      </c>
      <c r="E213" s="19" t="s">
        <v>24</v>
      </c>
      <c r="F213" s="31">
        <v>2</v>
      </c>
      <c r="G213" s="19" t="s">
        <v>42</v>
      </c>
    </row>
    <row r="214" spans="1:7" x14ac:dyDescent="0.3">
      <c r="A214" s="17" t="str">
        <f t="shared" si="4"/>
        <v>2. Diner/Pogo</v>
      </c>
      <c r="B214" s="28" t="s">
        <v>67</v>
      </c>
      <c r="C214" s="19" t="s">
        <v>101</v>
      </c>
      <c r="D214" s="19" t="s">
        <v>101</v>
      </c>
      <c r="E214" s="29" t="s">
        <v>506</v>
      </c>
      <c r="F214" s="31">
        <v>3</v>
      </c>
      <c r="G214" s="19" t="s">
        <v>18</v>
      </c>
    </row>
    <row r="215" spans="1:7" x14ac:dyDescent="0.3">
      <c r="A215" s="17" t="str">
        <f t="shared" si="4"/>
        <v>2. Diner/Pogo</v>
      </c>
      <c r="B215" s="28" t="s">
        <v>67</v>
      </c>
      <c r="C215" s="19" t="s">
        <v>101</v>
      </c>
      <c r="D215" s="19" t="s">
        <v>102</v>
      </c>
      <c r="E215" s="19" t="s">
        <v>24</v>
      </c>
      <c r="F215" s="31">
        <v>20</v>
      </c>
      <c r="G215" s="19" t="s">
        <v>15</v>
      </c>
    </row>
    <row r="216" spans="1:7" x14ac:dyDescent="0.3">
      <c r="A216" s="17" t="str">
        <f t="shared" si="4"/>
        <v>2. Diner/Pogo</v>
      </c>
      <c r="B216" s="28" t="s">
        <v>67</v>
      </c>
      <c r="C216" s="19" t="s">
        <v>101</v>
      </c>
      <c r="D216" s="19" t="s">
        <v>103</v>
      </c>
      <c r="E216" s="19" t="s">
        <v>24</v>
      </c>
      <c r="F216" s="31">
        <v>10</v>
      </c>
      <c r="G216" s="19" t="s">
        <v>15</v>
      </c>
    </row>
    <row r="217" spans="1:7" x14ac:dyDescent="0.3">
      <c r="A217" s="17" t="str">
        <f t="shared" si="4"/>
        <v>2. Diner/Pizza</v>
      </c>
      <c r="B217" s="28" t="s">
        <v>67</v>
      </c>
      <c r="C217" s="19" t="s">
        <v>105</v>
      </c>
      <c r="D217" s="19" t="s">
        <v>472</v>
      </c>
      <c r="E217" s="19" t="s">
        <v>24</v>
      </c>
      <c r="F217" s="31"/>
      <c r="G217" s="19" t="s">
        <v>42</v>
      </c>
    </row>
    <row r="218" spans="1:7" x14ac:dyDescent="0.3">
      <c r="A218" s="17" t="str">
        <f t="shared" si="4"/>
        <v>2. Diner/Pizza</v>
      </c>
      <c r="B218" s="28" t="s">
        <v>67</v>
      </c>
      <c r="C218" s="19" t="s">
        <v>105</v>
      </c>
      <c r="D218" s="19" t="s">
        <v>473</v>
      </c>
      <c r="E218" s="19" t="s">
        <v>19</v>
      </c>
      <c r="F218" s="31">
        <v>1.5</v>
      </c>
      <c r="G218" s="19" t="s">
        <v>18</v>
      </c>
    </row>
    <row r="219" spans="1:7" x14ac:dyDescent="0.3">
      <c r="A219" s="17" t="str">
        <f t="shared" si="4"/>
        <v>2. Diner/Pizza</v>
      </c>
      <c r="B219" s="28" t="s">
        <v>67</v>
      </c>
      <c r="C219" s="19" t="s">
        <v>105</v>
      </c>
      <c r="D219" s="19" t="s">
        <v>343</v>
      </c>
      <c r="E219" s="19" t="s">
        <v>24</v>
      </c>
      <c r="F219" s="31"/>
      <c r="G219" s="19" t="s">
        <v>42</v>
      </c>
    </row>
    <row r="220" spans="1:7" x14ac:dyDescent="0.3">
      <c r="A220" s="17" t="str">
        <f t="shared" si="4"/>
        <v>2. Diner/Pizza</v>
      </c>
      <c r="B220" s="28" t="s">
        <v>67</v>
      </c>
      <c r="C220" s="19" t="s">
        <v>105</v>
      </c>
      <c r="D220" s="19" t="s">
        <v>474</v>
      </c>
      <c r="E220" s="19" t="s">
        <v>26</v>
      </c>
      <c r="F220" s="31">
        <v>0.06</v>
      </c>
      <c r="G220" s="19" t="s">
        <v>18</v>
      </c>
    </row>
    <row r="221" spans="1:7" x14ac:dyDescent="0.3">
      <c r="A221" s="17" t="str">
        <f t="shared" si="4"/>
        <v>2. Diner/Pizza</v>
      </c>
      <c r="B221" s="28" t="s">
        <v>67</v>
      </c>
      <c r="C221" s="19" t="s">
        <v>105</v>
      </c>
      <c r="D221" s="19" t="s">
        <v>475</v>
      </c>
      <c r="E221" s="19" t="s">
        <v>24</v>
      </c>
      <c r="F221" s="31"/>
      <c r="G221" s="19" t="s">
        <v>42</v>
      </c>
    </row>
    <row r="222" spans="1:7" x14ac:dyDescent="0.3">
      <c r="A222" s="17" t="str">
        <f t="shared" si="4"/>
        <v>2. Diner/Patates au four</v>
      </c>
      <c r="B222" s="28" t="s">
        <v>67</v>
      </c>
      <c r="C222" s="19" t="s">
        <v>314</v>
      </c>
      <c r="D222" s="19" t="s">
        <v>315</v>
      </c>
      <c r="E222" s="19" t="s">
        <v>26</v>
      </c>
      <c r="F222" s="31">
        <v>0.75</v>
      </c>
      <c r="G222" s="19" t="s">
        <v>18</v>
      </c>
    </row>
    <row r="223" spans="1:7" x14ac:dyDescent="0.3">
      <c r="A223" s="17" t="str">
        <f t="shared" si="4"/>
        <v>2. Diner/Pain aux bananes</v>
      </c>
      <c r="B223" s="28" t="s">
        <v>67</v>
      </c>
      <c r="C223" s="19" t="s">
        <v>262</v>
      </c>
      <c r="D223" s="19" t="s">
        <v>263</v>
      </c>
      <c r="E223" s="19" t="s">
        <v>19</v>
      </c>
      <c r="F223" s="31">
        <v>3.7499999999999999E-2</v>
      </c>
      <c r="G223" s="19" t="s">
        <v>253</v>
      </c>
    </row>
    <row r="224" spans="1:7" x14ac:dyDescent="0.3">
      <c r="A224" s="17" t="str">
        <f t="shared" si="4"/>
        <v>2. Diner/Pain aux bananes</v>
      </c>
      <c r="B224" s="28" t="s">
        <v>67</v>
      </c>
      <c r="C224" s="19" t="s">
        <v>262</v>
      </c>
      <c r="D224" s="19" t="s">
        <v>264</v>
      </c>
      <c r="E224" s="19" t="s">
        <v>19</v>
      </c>
      <c r="F224" s="31">
        <v>0.5</v>
      </c>
      <c r="G224" s="19" t="s">
        <v>22</v>
      </c>
    </row>
    <row r="225" spans="1:7" x14ac:dyDescent="0.3">
      <c r="A225" s="17" t="str">
        <f t="shared" si="4"/>
        <v>2. Diner/Pain aux bananes</v>
      </c>
      <c r="B225" s="28" t="s">
        <v>67</v>
      </c>
      <c r="C225" s="19" t="s">
        <v>262</v>
      </c>
      <c r="D225" s="19" t="s">
        <v>265</v>
      </c>
      <c r="E225" s="19" t="s">
        <v>19</v>
      </c>
      <c r="F225" s="31">
        <v>0.5</v>
      </c>
      <c r="G225" s="19" t="s">
        <v>22</v>
      </c>
    </row>
    <row r="226" spans="1:7" x14ac:dyDescent="0.3">
      <c r="A226" s="17" t="str">
        <f t="shared" si="4"/>
        <v>2. Diner/Pain aux bananes</v>
      </c>
      <c r="B226" s="28" t="s">
        <v>67</v>
      </c>
      <c r="C226" s="19" t="s">
        <v>262</v>
      </c>
      <c r="D226" s="19" t="s">
        <v>149</v>
      </c>
      <c r="E226" s="19" t="s">
        <v>14</v>
      </c>
      <c r="F226" s="31">
        <v>12.5</v>
      </c>
      <c r="G226" s="19" t="s">
        <v>15</v>
      </c>
    </row>
    <row r="227" spans="1:7" x14ac:dyDescent="0.3">
      <c r="A227" s="17" t="str">
        <f t="shared" si="4"/>
        <v>2. Diner/Pain aux bananes</v>
      </c>
      <c r="B227" s="28" t="s">
        <v>67</v>
      </c>
      <c r="C227" s="19" t="s">
        <v>262</v>
      </c>
      <c r="D227" s="19" t="s">
        <v>201</v>
      </c>
      <c r="E227" s="19" t="s">
        <v>24</v>
      </c>
      <c r="F227" s="31">
        <v>25</v>
      </c>
      <c r="G227" s="19" t="s">
        <v>22</v>
      </c>
    </row>
    <row r="228" spans="1:7" x14ac:dyDescent="0.3">
      <c r="A228" s="17" t="str">
        <f t="shared" si="4"/>
        <v>2. Diner/Pain aux bananes</v>
      </c>
      <c r="B228" s="28" t="s">
        <v>67</v>
      </c>
      <c r="C228" s="19" t="s">
        <v>262</v>
      </c>
      <c r="D228" s="19" t="s">
        <v>251</v>
      </c>
      <c r="E228" s="19" t="s">
        <v>14</v>
      </c>
      <c r="F228" s="31">
        <v>0.1</v>
      </c>
      <c r="G228" s="19" t="s">
        <v>18</v>
      </c>
    </row>
    <row r="229" spans="1:7" x14ac:dyDescent="0.3">
      <c r="A229" s="17" t="str">
        <f t="shared" si="4"/>
        <v>2. Diner/Pain aux bananes</v>
      </c>
      <c r="B229" s="28" t="s">
        <v>67</v>
      </c>
      <c r="C229" s="19" t="s">
        <v>262</v>
      </c>
      <c r="D229" s="19" t="s">
        <v>169</v>
      </c>
      <c r="E229" s="19" t="s">
        <v>26</v>
      </c>
      <c r="F229" s="31">
        <v>0.3</v>
      </c>
      <c r="G229" s="19" t="s">
        <v>18</v>
      </c>
    </row>
    <row r="230" spans="1:7" x14ac:dyDescent="0.3">
      <c r="A230" s="17" t="str">
        <f t="shared" si="4"/>
        <v>2. Diner/Pain aux bananes</v>
      </c>
      <c r="B230" s="28" t="s">
        <v>67</v>
      </c>
      <c r="C230" s="19" t="s">
        <v>262</v>
      </c>
      <c r="D230" s="19" t="s">
        <v>266</v>
      </c>
      <c r="E230" s="19" t="s">
        <v>14</v>
      </c>
      <c r="F230" s="31">
        <v>12.5</v>
      </c>
      <c r="G230" s="19" t="s">
        <v>15</v>
      </c>
    </row>
    <row r="231" spans="1:7" x14ac:dyDescent="0.3">
      <c r="A231" s="17" t="str">
        <f t="shared" si="4"/>
        <v>2. Diner/Pain aux bananes</v>
      </c>
      <c r="B231" s="28" t="s">
        <v>67</v>
      </c>
      <c r="C231" s="19" t="s">
        <v>262</v>
      </c>
      <c r="D231" s="19" t="s">
        <v>267</v>
      </c>
      <c r="E231" s="19" t="s">
        <v>26</v>
      </c>
      <c r="F231" s="31">
        <v>0.05</v>
      </c>
      <c r="G231" s="19" t="s">
        <v>18</v>
      </c>
    </row>
    <row r="232" spans="1:7" x14ac:dyDescent="0.3">
      <c r="A232" s="17" t="str">
        <f t="shared" si="4"/>
        <v>2. Diner/Melon d'eau</v>
      </c>
      <c r="B232" s="28" t="s">
        <v>67</v>
      </c>
      <c r="C232" s="19" t="s">
        <v>379</v>
      </c>
      <c r="D232" s="19" t="s">
        <v>379</v>
      </c>
      <c r="E232" s="19" t="s">
        <v>26</v>
      </c>
      <c r="F232" s="31">
        <v>0.15</v>
      </c>
      <c r="G232" s="19" t="s">
        <v>83</v>
      </c>
    </row>
    <row r="233" spans="1:7" x14ac:dyDescent="0.3">
      <c r="A233" s="17" t="str">
        <f t="shared" si="4"/>
        <v>2. Diner/Légumes</v>
      </c>
      <c r="B233" s="28" t="s">
        <v>67</v>
      </c>
      <c r="C233" s="19" t="s">
        <v>35</v>
      </c>
      <c r="D233" s="19" t="s">
        <v>142</v>
      </c>
      <c r="E233" s="19" t="s">
        <v>26</v>
      </c>
      <c r="F233" s="31">
        <v>50</v>
      </c>
      <c r="G233" s="19" t="s">
        <v>22</v>
      </c>
    </row>
    <row r="234" spans="1:7" x14ac:dyDescent="0.3">
      <c r="A234" s="17" t="str">
        <f t="shared" si="4"/>
        <v>2. Diner/Légumes</v>
      </c>
      <c r="B234" s="28" t="s">
        <v>67</v>
      </c>
      <c r="C234" s="19" t="s">
        <v>35</v>
      </c>
      <c r="D234" s="19" t="s">
        <v>30</v>
      </c>
      <c r="E234" s="19" t="s">
        <v>26</v>
      </c>
      <c r="F234" s="31">
        <v>0.2</v>
      </c>
      <c r="G234" s="19" t="s">
        <v>18</v>
      </c>
    </row>
    <row r="235" spans="1:7" x14ac:dyDescent="0.3">
      <c r="A235" s="17" t="str">
        <f t="shared" si="4"/>
        <v>2. Diner/Légumes</v>
      </c>
      <c r="B235" s="28" t="s">
        <v>67</v>
      </c>
      <c r="C235" s="19" t="s">
        <v>35</v>
      </c>
      <c r="D235" s="19" t="s">
        <v>36</v>
      </c>
      <c r="E235" s="19" t="s">
        <v>24</v>
      </c>
      <c r="F235" s="31">
        <v>25</v>
      </c>
      <c r="G235" s="19" t="s">
        <v>22</v>
      </c>
    </row>
    <row r="236" spans="1:7" x14ac:dyDescent="0.3">
      <c r="A236" s="17" t="str">
        <f t="shared" si="4"/>
        <v>2. Diner/Légumes</v>
      </c>
      <c r="B236" s="28" t="s">
        <v>67</v>
      </c>
      <c r="C236" s="19" t="s">
        <v>35</v>
      </c>
      <c r="D236" s="19" t="s">
        <v>143</v>
      </c>
      <c r="E236" s="19" t="s">
        <v>24</v>
      </c>
      <c r="F236" s="31">
        <v>25</v>
      </c>
      <c r="G236" s="19" t="s">
        <v>22</v>
      </c>
    </row>
    <row r="237" spans="1:7" x14ac:dyDescent="0.3">
      <c r="A237" s="17" t="str">
        <f t="shared" si="4"/>
        <v>2. Diner/Kraft Diner</v>
      </c>
      <c r="B237" s="28" t="s">
        <v>67</v>
      </c>
      <c r="C237" s="19" t="s">
        <v>147</v>
      </c>
      <c r="D237" s="19" t="s">
        <v>147</v>
      </c>
      <c r="E237" s="19" t="s">
        <v>24</v>
      </c>
      <c r="F237" s="31">
        <v>0.33</v>
      </c>
      <c r="G237" s="19" t="s">
        <v>148</v>
      </c>
    </row>
    <row r="238" spans="1:7" x14ac:dyDescent="0.3">
      <c r="A238" s="17" t="str">
        <f t="shared" si="4"/>
        <v>2. Diner/Kraft Diner</v>
      </c>
      <c r="B238" s="28" t="s">
        <v>67</v>
      </c>
      <c r="C238" s="19" t="s">
        <v>147</v>
      </c>
      <c r="D238" s="19" t="s">
        <v>149</v>
      </c>
      <c r="E238" s="19" t="s">
        <v>14</v>
      </c>
      <c r="F238" s="31">
        <v>13.33</v>
      </c>
      <c r="G238" s="19" t="s">
        <v>22</v>
      </c>
    </row>
    <row r="239" spans="1:7" x14ac:dyDescent="0.3">
      <c r="A239" s="17" t="str">
        <f t="shared" si="4"/>
        <v>2. Diner/Kraft Diner</v>
      </c>
      <c r="B239" s="28" t="s">
        <v>67</v>
      </c>
      <c r="C239" s="19" t="s">
        <v>147</v>
      </c>
      <c r="D239" s="19" t="s">
        <v>145</v>
      </c>
      <c r="E239" s="19" t="s">
        <v>14</v>
      </c>
      <c r="F239" s="31">
        <v>20.832999999999998</v>
      </c>
      <c r="G239" s="19" t="s">
        <v>15</v>
      </c>
    </row>
    <row r="240" spans="1:7" x14ac:dyDescent="0.3">
      <c r="A240" s="17" t="str">
        <f t="shared" si="4"/>
        <v>2. Diner/Kraft Diner</v>
      </c>
      <c r="B240" s="28" t="s">
        <v>67</v>
      </c>
      <c r="C240" s="19" t="s">
        <v>147</v>
      </c>
      <c r="D240" s="19" t="s">
        <v>150</v>
      </c>
      <c r="E240" s="19" t="s">
        <v>21</v>
      </c>
      <c r="F240" s="31">
        <v>1</v>
      </c>
      <c r="G240" s="19" t="s">
        <v>18</v>
      </c>
    </row>
    <row r="241" spans="1:7" x14ac:dyDescent="0.3">
      <c r="A241" s="17" t="str">
        <f t="shared" si="4"/>
        <v>2. Diner/Jus</v>
      </c>
      <c r="B241" s="28" t="s">
        <v>67</v>
      </c>
      <c r="C241" s="19" t="s">
        <v>152</v>
      </c>
      <c r="D241" s="19" t="s">
        <v>153</v>
      </c>
      <c r="E241" s="19" t="s">
        <v>24</v>
      </c>
      <c r="F241" s="31">
        <v>3.125E-2</v>
      </c>
      <c r="G241" s="19" t="s">
        <v>42</v>
      </c>
    </row>
    <row r="242" spans="1:7" x14ac:dyDescent="0.3">
      <c r="A242" s="17" t="str">
        <f t="shared" si="4"/>
        <v>2. Diner/Hummus dip</v>
      </c>
      <c r="B242" s="28" t="s">
        <v>67</v>
      </c>
      <c r="C242" s="19" t="s">
        <v>384</v>
      </c>
      <c r="D242" s="19" t="s">
        <v>143</v>
      </c>
      <c r="E242" s="19" t="s">
        <v>24</v>
      </c>
      <c r="F242" s="31">
        <v>125</v>
      </c>
      <c r="G242" s="19" t="s">
        <v>15</v>
      </c>
    </row>
    <row r="243" spans="1:7" x14ac:dyDescent="0.3">
      <c r="A243" s="17" t="str">
        <f t="shared" si="4"/>
        <v>2. Diner/Hummus dip</v>
      </c>
      <c r="B243" s="28" t="s">
        <v>67</v>
      </c>
      <c r="C243" s="19" t="s">
        <v>384</v>
      </c>
      <c r="D243" s="19" t="s">
        <v>82</v>
      </c>
      <c r="E243" s="19" t="s">
        <v>26</v>
      </c>
      <c r="F243" s="31">
        <v>0.3</v>
      </c>
      <c r="G243" s="19" t="s">
        <v>83</v>
      </c>
    </row>
    <row r="244" spans="1:7" x14ac:dyDescent="0.3">
      <c r="A244" s="17" t="str">
        <f t="shared" si="4"/>
        <v>2. Diner/Hummus dip</v>
      </c>
      <c r="B244" s="28" t="s">
        <v>67</v>
      </c>
      <c r="C244" s="19" t="s">
        <v>384</v>
      </c>
      <c r="D244" s="19" t="s">
        <v>385</v>
      </c>
      <c r="E244" s="19" t="s">
        <v>26</v>
      </c>
      <c r="F244" s="31">
        <v>0.3</v>
      </c>
      <c r="G244" s="19" t="s">
        <v>83</v>
      </c>
    </row>
    <row r="245" spans="1:7" x14ac:dyDescent="0.3">
      <c r="A245" s="17" t="str">
        <f t="shared" si="4"/>
        <v>2. Diner/Hummus dip</v>
      </c>
      <c r="B245" s="28" t="s">
        <v>67</v>
      </c>
      <c r="C245" s="19" t="s">
        <v>384</v>
      </c>
      <c r="D245" s="19" t="s">
        <v>85</v>
      </c>
      <c r="E245" s="19" t="s">
        <v>26</v>
      </c>
      <c r="F245" s="31">
        <v>0.4</v>
      </c>
      <c r="G245" s="19" t="s">
        <v>83</v>
      </c>
    </row>
    <row r="246" spans="1:7" x14ac:dyDescent="0.3">
      <c r="A246" s="17" t="str">
        <f t="shared" si="4"/>
        <v>2. Diner/Hummus dip</v>
      </c>
      <c r="B246" s="28" t="s">
        <v>67</v>
      </c>
      <c r="C246" s="19" t="s">
        <v>384</v>
      </c>
      <c r="D246" s="19" t="s">
        <v>279</v>
      </c>
      <c r="E246" s="19" t="s">
        <v>26</v>
      </c>
      <c r="F246" s="31">
        <v>40</v>
      </c>
      <c r="G246" s="19" t="s">
        <v>80</v>
      </c>
    </row>
    <row r="247" spans="1:7" x14ac:dyDescent="0.3">
      <c r="A247" s="17" t="str">
        <f t="shared" si="4"/>
        <v>2. Diner/Hummus dip</v>
      </c>
      <c r="B247" s="28" t="s">
        <v>67</v>
      </c>
      <c r="C247" s="19" t="s">
        <v>384</v>
      </c>
      <c r="D247" s="19" t="s">
        <v>386</v>
      </c>
      <c r="E247" s="19" t="s">
        <v>24</v>
      </c>
      <c r="F247" s="31">
        <v>35</v>
      </c>
      <c r="G247" s="19" t="s">
        <v>80</v>
      </c>
    </row>
    <row r="248" spans="1:7" x14ac:dyDescent="0.3">
      <c r="A248" s="17" t="str">
        <f t="shared" si="4"/>
        <v>2. Diner/Hummus</v>
      </c>
      <c r="B248" s="28" t="s">
        <v>67</v>
      </c>
      <c r="C248" s="19" t="s">
        <v>143</v>
      </c>
      <c r="D248" s="19" t="s">
        <v>143</v>
      </c>
      <c r="E248" s="19" t="s">
        <v>24</v>
      </c>
      <c r="F248" s="31">
        <v>0.25</v>
      </c>
      <c r="G248" s="19" t="s">
        <v>316</v>
      </c>
    </row>
    <row r="249" spans="1:7" x14ac:dyDescent="0.3">
      <c r="A249" s="17" t="str">
        <f t="shared" ref="A249:A305" si="5">CONCATENATE(B249,"/",C249)</f>
        <v>2. Diner/Hot Dogs</v>
      </c>
      <c r="B249" s="28" t="s">
        <v>67</v>
      </c>
      <c r="C249" s="19" t="s">
        <v>155</v>
      </c>
      <c r="D249" s="19" t="s">
        <v>156</v>
      </c>
      <c r="E249" s="19" t="s">
        <v>19</v>
      </c>
      <c r="F249" s="31">
        <v>2.5</v>
      </c>
      <c r="G249" s="19" t="s">
        <v>18</v>
      </c>
    </row>
    <row r="250" spans="1:7" x14ac:dyDescent="0.3">
      <c r="A250" s="17" t="str">
        <f t="shared" si="5"/>
        <v>2. Diner/Hot Dogs</v>
      </c>
      <c r="B250" s="28" t="s">
        <v>67</v>
      </c>
      <c r="C250" s="19" t="s">
        <v>155</v>
      </c>
      <c r="D250" s="19" t="s">
        <v>157</v>
      </c>
      <c r="E250" s="19" t="s">
        <v>21</v>
      </c>
      <c r="F250" s="31">
        <v>2.5</v>
      </c>
      <c r="G250" s="19" t="s">
        <v>18</v>
      </c>
    </row>
    <row r="251" spans="1:7" x14ac:dyDescent="0.3">
      <c r="A251" s="17" t="str">
        <f t="shared" si="5"/>
        <v>2. Diner/Hot Dogs</v>
      </c>
      <c r="B251" s="28" t="s">
        <v>67</v>
      </c>
      <c r="C251" s="19" t="s">
        <v>155</v>
      </c>
      <c r="D251" s="19" t="s">
        <v>103</v>
      </c>
      <c r="E251" s="19" t="s">
        <v>24</v>
      </c>
      <c r="F251" s="31">
        <v>15</v>
      </c>
      <c r="G251" s="19" t="s">
        <v>15</v>
      </c>
    </row>
    <row r="252" spans="1:7" x14ac:dyDescent="0.3">
      <c r="A252" s="17" t="str">
        <f t="shared" si="5"/>
        <v>2. Diner/Hot Dogs</v>
      </c>
      <c r="B252" s="28" t="s">
        <v>67</v>
      </c>
      <c r="C252" s="19" t="s">
        <v>155</v>
      </c>
      <c r="D252" s="19" t="s">
        <v>102</v>
      </c>
      <c r="E252" s="19" t="s">
        <v>24</v>
      </c>
      <c r="F252" s="31">
        <v>30</v>
      </c>
      <c r="G252" s="19" t="s">
        <v>15</v>
      </c>
    </row>
    <row r="253" spans="1:7" x14ac:dyDescent="0.3">
      <c r="A253" s="17" t="str">
        <f t="shared" si="5"/>
        <v>2. Diner/Hamburger</v>
      </c>
      <c r="B253" s="28" t="s">
        <v>67</v>
      </c>
      <c r="C253" s="19" t="s">
        <v>429</v>
      </c>
      <c r="D253" s="19" t="s">
        <v>480</v>
      </c>
      <c r="E253" s="19" t="s">
        <v>21</v>
      </c>
      <c r="F253" s="31">
        <v>1.25</v>
      </c>
      <c r="G253" s="19" t="s">
        <v>18</v>
      </c>
    </row>
    <row r="254" spans="1:7" x14ac:dyDescent="0.3">
      <c r="A254" s="17" t="str">
        <f t="shared" si="5"/>
        <v>2. Diner/Hamburger</v>
      </c>
      <c r="B254" s="28" t="s">
        <v>67</v>
      </c>
      <c r="C254" s="19" t="s">
        <v>429</v>
      </c>
      <c r="D254" s="19" t="s">
        <v>88</v>
      </c>
      <c r="E254" s="19" t="s">
        <v>26</v>
      </c>
      <c r="F254" s="31"/>
      <c r="G254" s="19" t="s">
        <v>18</v>
      </c>
    </row>
    <row r="255" spans="1:7" x14ac:dyDescent="0.3">
      <c r="A255" s="17" t="str">
        <f t="shared" si="5"/>
        <v>2. Diner/Hamburger</v>
      </c>
      <c r="B255" s="28" t="s">
        <v>67</v>
      </c>
      <c r="C255" s="19" t="s">
        <v>429</v>
      </c>
      <c r="D255" s="19" t="s">
        <v>81</v>
      </c>
      <c r="E255" s="19" t="s">
        <v>24</v>
      </c>
      <c r="F255" s="31">
        <v>10</v>
      </c>
      <c r="G255" s="19" t="s">
        <v>15</v>
      </c>
    </row>
    <row r="256" spans="1:7" x14ac:dyDescent="0.3">
      <c r="A256" s="17" t="str">
        <f t="shared" si="5"/>
        <v>2. Diner/Guacamole</v>
      </c>
      <c r="B256" s="28" t="s">
        <v>67</v>
      </c>
      <c r="C256" s="19" t="s">
        <v>159</v>
      </c>
      <c r="D256" s="19" t="s">
        <v>389</v>
      </c>
      <c r="E256" s="19" t="s">
        <v>24</v>
      </c>
      <c r="F256" s="31">
        <v>1</v>
      </c>
      <c r="G256" s="19" t="s">
        <v>80</v>
      </c>
    </row>
    <row r="257" spans="1:7" x14ac:dyDescent="0.3">
      <c r="A257" s="17" t="str">
        <f t="shared" si="5"/>
        <v>2. Diner/Grilled cheese</v>
      </c>
      <c r="B257" s="28" t="s">
        <v>67</v>
      </c>
      <c r="C257" s="19" t="s">
        <v>162</v>
      </c>
      <c r="D257" s="19" t="s">
        <v>163</v>
      </c>
      <c r="E257" s="19" t="s">
        <v>19</v>
      </c>
      <c r="F257" s="31">
        <v>3</v>
      </c>
      <c r="G257" s="19" t="s">
        <v>70</v>
      </c>
    </row>
    <row r="258" spans="1:7" x14ac:dyDescent="0.3">
      <c r="A258" s="17" t="str">
        <f t="shared" si="5"/>
        <v>2. Diner/Grilled cheese</v>
      </c>
      <c r="B258" s="28" t="s">
        <v>67</v>
      </c>
      <c r="C258" s="19" t="s">
        <v>162</v>
      </c>
      <c r="D258" s="19" t="s">
        <v>164</v>
      </c>
      <c r="E258" s="19" t="s">
        <v>14</v>
      </c>
      <c r="F258" s="31">
        <v>4</v>
      </c>
      <c r="G258" s="19" t="s">
        <v>70</v>
      </c>
    </row>
    <row r="259" spans="1:7" x14ac:dyDescent="0.3">
      <c r="A259" s="17" t="str">
        <f t="shared" si="5"/>
        <v>2. Diner/Fromage</v>
      </c>
      <c r="B259" s="28" t="s">
        <v>67</v>
      </c>
      <c r="C259" s="19" t="s">
        <v>376</v>
      </c>
      <c r="D259" s="19" t="s">
        <v>377</v>
      </c>
      <c r="E259" s="19" t="s">
        <v>14</v>
      </c>
      <c r="F259" s="31">
        <v>20</v>
      </c>
      <c r="G259" s="19" t="s">
        <v>80</v>
      </c>
    </row>
    <row r="260" spans="1:7" x14ac:dyDescent="0.3">
      <c r="A260" s="17" t="str">
        <f t="shared" si="5"/>
        <v>2. Diner/Fromage</v>
      </c>
      <c r="B260" s="28" t="s">
        <v>67</v>
      </c>
      <c r="C260" s="19" t="s">
        <v>376</v>
      </c>
      <c r="D260" s="19" t="s">
        <v>378</v>
      </c>
      <c r="E260" s="19" t="s">
        <v>14</v>
      </c>
      <c r="F260" s="31">
        <v>20</v>
      </c>
      <c r="G260" s="19" t="s">
        <v>80</v>
      </c>
    </row>
    <row r="261" spans="1:7" x14ac:dyDescent="0.3">
      <c r="A261" s="17" t="str">
        <f t="shared" si="5"/>
        <v>2. Diner/Fromage</v>
      </c>
      <c r="B261" s="28" t="s">
        <v>67</v>
      </c>
      <c r="C261" s="19" t="s">
        <v>376</v>
      </c>
      <c r="D261" s="19" t="s">
        <v>380</v>
      </c>
      <c r="E261" s="19" t="s">
        <v>14</v>
      </c>
      <c r="F261" s="31">
        <v>56</v>
      </c>
      <c r="G261" s="19" t="s">
        <v>80</v>
      </c>
    </row>
    <row r="262" spans="1:7" x14ac:dyDescent="0.3">
      <c r="A262" s="17" t="str">
        <f t="shared" si="5"/>
        <v>2. Diner/Croque Monsieur</v>
      </c>
      <c r="B262" s="28" t="s">
        <v>67</v>
      </c>
      <c r="C262" s="19" t="s">
        <v>191</v>
      </c>
      <c r="D262" s="19" t="s">
        <v>192</v>
      </c>
      <c r="E262" s="19" t="s">
        <v>19</v>
      </c>
      <c r="F262" s="31">
        <v>2</v>
      </c>
      <c r="G262" s="19" t="s">
        <v>18</v>
      </c>
    </row>
    <row r="263" spans="1:7" x14ac:dyDescent="0.3">
      <c r="A263" s="17" t="str">
        <f t="shared" si="5"/>
        <v>2. Diner/Croque Monsieur</v>
      </c>
      <c r="B263" s="28" t="s">
        <v>67</v>
      </c>
      <c r="C263" s="19" t="s">
        <v>191</v>
      </c>
      <c r="D263" s="19" t="s">
        <v>126</v>
      </c>
      <c r="E263" s="19" t="s">
        <v>21</v>
      </c>
      <c r="F263" s="31">
        <v>40</v>
      </c>
      <c r="G263" s="19" t="s">
        <v>22</v>
      </c>
    </row>
    <row r="264" spans="1:7" x14ac:dyDescent="0.3">
      <c r="A264" s="17" t="str">
        <f t="shared" si="5"/>
        <v>2. Diner/Croque Monsieur</v>
      </c>
      <c r="B264" s="28" t="s">
        <v>67</v>
      </c>
      <c r="C264" s="19" t="s">
        <v>191</v>
      </c>
      <c r="D264" s="19" t="s">
        <v>25</v>
      </c>
      <c r="E264" s="19" t="s">
        <v>26</v>
      </c>
      <c r="F264" s="31">
        <v>3</v>
      </c>
      <c r="G264" s="19" t="s">
        <v>27</v>
      </c>
    </row>
    <row r="265" spans="1:7" x14ac:dyDescent="0.3">
      <c r="A265" s="17" t="str">
        <f t="shared" si="5"/>
        <v>2. Diner/Croque Monsieur</v>
      </c>
      <c r="B265" s="28" t="s">
        <v>67</v>
      </c>
      <c r="C265" s="19" t="s">
        <v>191</v>
      </c>
      <c r="D265" s="19" t="s">
        <v>125</v>
      </c>
      <c r="E265" s="19" t="s">
        <v>14</v>
      </c>
      <c r="F265" s="31">
        <v>1.5</v>
      </c>
      <c r="G265" s="19" t="s">
        <v>27</v>
      </c>
    </row>
    <row r="266" spans="1:7" x14ac:dyDescent="0.3">
      <c r="A266" s="17" t="str">
        <f t="shared" si="5"/>
        <v>2. Diner/Croque Monsieur</v>
      </c>
      <c r="B266" s="28" t="s">
        <v>67</v>
      </c>
      <c r="C266" s="19" t="s">
        <v>191</v>
      </c>
      <c r="D266" s="19" t="s">
        <v>38</v>
      </c>
      <c r="E266" s="19" t="s">
        <v>19</v>
      </c>
      <c r="F266" s="31">
        <v>2</v>
      </c>
      <c r="G266" s="19" t="s">
        <v>18</v>
      </c>
    </row>
    <row r="267" spans="1:7" x14ac:dyDescent="0.3">
      <c r="A267" s="17" t="str">
        <f t="shared" si="5"/>
        <v>2. Diner/Croque Monsieur</v>
      </c>
      <c r="B267" s="28" t="s">
        <v>67</v>
      </c>
      <c r="C267" s="19" t="s">
        <v>191</v>
      </c>
      <c r="D267" s="19" t="s">
        <v>407</v>
      </c>
      <c r="E267" s="19" t="s">
        <v>26</v>
      </c>
      <c r="F267" s="31">
        <v>3</v>
      </c>
      <c r="G267" s="19" t="s">
        <v>27</v>
      </c>
    </row>
    <row r="268" spans="1:7" x14ac:dyDescent="0.3">
      <c r="A268" s="17" t="str">
        <f t="shared" si="5"/>
        <v>2. Diner/Crackers &amp; Hummus</v>
      </c>
      <c r="B268" s="28" t="s">
        <v>67</v>
      </c>
      <c r="C268" s="19" t="s">
        <v>193</v>
      </c>
      <c r="D268" s="19" t="s">
        <v>143</v>
      </c>
      <c r="E268" s="19" t="s">
        <v>24</v>
      </c>
      <c r="F268" s="31">
        <v>25</v>
      </c>
      <c r="G268" s="19" t="s">
        <v>22</v>
      </c>
    </row>
    <row r="269" spans="1:7" x14ac:dyDescent="0.3">
      <c r="A269" s="17" t="str">
        <f t="shared" si="5"/>
        <v>2. Diner/Crackers &amp; Hummus</v>
      </c>
      <c r="B269" s="28" t="s">
        <v>67</v>
      </c>
      <c r="C269" s="19" t="s">
        <v>193</v>
      </c>
      <c r="D269" s="19" t="s">
        <v>194</v>
      </c>
      <c r="E269" s="19" t="s">
        <v>19</v>
      </c>
      <c r="F269" s="31">
        <v>10</v>
      </c>
      <c r="G269" s="19" t="s">
        <v>18</v>
      </c>
    </row>
    <row r="270" spans="1:7" x14ac:dyDescent="0.3">
      <c r="A270" s="17" t="str">
        <f t="shared" si="5"/>
        <v>2. Diner/Club sandwich</v>
      </c>
      <c r="B270" s="28" t="s">
        <v>67</v>
      </c>
      <c r="C270" s="19" t="s">
        <v>228</v>
      </c>
      <c r="D270" s="19" t="s">
        <v>71</v>
      </c>
      <c r="E270" s="19" t="s">
        <v>26</v>
      </c>
      <c r="F270" s="31">
        <v>4</v>
      </c>
      <c r="G270" s="19" t="s">
        <v>72</v>
      </c>
    </row>
    <row r="271" spans="1:7" x14ac:dyDescent="0.3">
      <c r="A271" s="17" t="str">
        <f t="shared" si="5"/>
        <v>2. Diner/Club sandwich</v>
      </c>
      <c r="B271" s="28" t="s">
        <v>67</v>
      </c>
      <c r="C271" s="19" t="s">
        <v>228</v>
      </c>
      <c r="D271" s="19" t="s">
        <v>28</v>
      </c>
      <c r="E271" s="19" t="s">
        <v>26</v>
      </c>
      <c r="F271" s="31">
        <v>0.66</v>
      </c>
      <c r="G271" s="19" t="s">
        <v>18</v>
      </c>
    </row>
    <row r="272" spans="1:7" x14ac:dyDescent="0.3">
      <c r="A272" s="17" t="str">
        <f t="shared" si="5"/>
        <v>2. Diner/Club sandwich</v>
      </c>
      <c r="B272" s="28" t="s">
        <v>67</v>
      </c>
      <c r="C272" s="19" t="s">
        <v>228</v>
      </c>
      <c r="D272" s="19" t="s">
        <v>23</v>
      </c>
      <c r="E272" s="19" t="s">
        <v>24</v>
      </c>
      <c r="F272" s="31">
        <v>20</v>
      </c>
      <c r="G272" s="19" t="s">
        <v>15</v>
      </c>
    </row>
    <row r="273" spans="1:7" x14ac:dyDescent="0.3">
      <c r="A273" s="17" t="str">
        <f t="shared" si="5"/>
        <v>2. Diner/Club sandwich</v>
      </c>
      <c r="B273" s="28" t="s">
        <v>67</v>
      </c>
      <c r="C273" s="19" t="s">
        <v>228</v>
      </c>
      <c r="D273" s="19" t="s">
        <v>38</v>
      </c>
      <c r="E273" s="19" t="s">
        <v>19</v>
      </c>
      <c r="F273" s="31">
        <v>4</v>
      </c>
      <c r="G273" s="19" t="s">
        <v>18</v>
      </c>
    </row>
    <row r="274" spans="1:7" x14ac:dyDescent="0.3">
      <c r="A274" s="17" t="str">
        <f t="shared" si="5"/>
        <v>2. Diner/Club sandwich</v>
      </c>
      <c r="B274" s="28" t="s">
        <v>67</v>
      </c>
      <c r="C274" s="19" t="s">
        <v>228</v>
      </c>
      <c r="D274" s="19" t="s">
        <v>229</v>
      </c>
      <c r="E274" s="19" t="s">
        <v>21</v>
      </c>
      <c r="F274" s="31">
        <v>0.16666666666666666</v>
      </c>
      <c r="G274" s="19" t="s">
        <v>18</v>
      </c>
    </row>
    <row r="275" spans="1:7" x14ac:dyDescent="0.3">
      <c r="A275" s="17" t="str">
        <f t="shared" si="5"/>
        <v>2. Diner/Club sandwich</v>
      </c>
      <c r="B275" s="28" t="s">
        <v>67</v>
      </c>
      <c r="C275" s="19" t="s">
        <v>228</v>
      </c>
      <c r="D275" s="19" t="s">
        <v>230</v>
      </c>
      <c r="E275" s="19" t="s">
        <v>24</v>
      </c>
      <c r="F275" s="31">
        <v>3</v>
      </c>
      <c r="G275" s="19" t="s">
        <v>70</v>
      </c>
    </row>
    <row r="276" spans="1:7" x14ac:dyDescent="0.3">
      <c r="A276" s="17" t="str">
        <f t="shared" si="5"/>
        <v>2. Diner/Chips</v>
      </c>
      <c r="B276" s="28" t="s">
        <v>67</v>
      </c>
      <c r="C276" s="19" t="s">
        <v>226</v>
      </c>
      <c r="D276" s="19" t="s">
        <v>226</v>
      </c>
      <c r="E276" s="19" t="s">
        <v>24</v>
      </c>
      <c r="F276" s="31">
        <v>0.1111111111111111</v>
      </c>
      <c r="G276" s="19" t="s">
        <v>227</v>
      </c>
    </row>
    <row r="277" spans="1:7" x14ac:dyDescent="0.3">
      <c r="A277" s="17" t="str">
        <f t="shared" si="5"/>
        <v>2. Diner/Charcuterie</v>
      </c>
      <c r="B277" s="28" t="s">
        <v>67</v>
      </c>
      <c r="C277" s="19" t="s">
        <v>374</v>
      </c>
      <c r="D277" s="19" t="s">
        <v>126</v>
      </c>
      <c r="E277" s="19" t="s">
        <v>21</v>
      </c>
      <c r="F277" s="31">
        <v>30</v>
      </c>
      <c r="G277" s="19" t="s">
        <v>80</v>
      </c>
    </row>
    <row r="278" spans="1:7" x14ac:dyDescent="0.3">
      <c r="A278" s="17" t="str">
        <f t="shared" si="5"/>
        <v>2. Diner/Charcuterie</v>
      </c>
      <c r="B278" s="28" t="s">
        <v>67</v>
      </c>
      <c r="C278" s="19" t="s">
        <v>374</v>
      </c>
      <c r="D278" s="19" t="s">
        <v>375</v>
      </c>
      <c r="E278" s="19" t="s">
        <v>21</v>
      </c>
      <c r="F278" s="31">
        <v>30</v>
      </c>
      <c r="G278" s="19" t="s">
        <v>80</v>
      </c>
    </row>
    <row r="279" spans="1:7" x14ac:dyDescent="0.3">
      <c r="A279" s="17" t="str">
        <f t="shared" si="5"/>
        <v>2. Diner/Charcuterie</v>
      </c>
      <c r="B279" s="28" t="s">
        <v>67</v>
      </c>
      <c r="C279" s="19" t="s">
        <v>374</v>
      </c>
      <c r="D279" s="19" t="s">
        <v>243</v>
      </c>
      <c r="E279" s="19" t="s">
        <v>21</v>
      </c>
      <c r="F279" s="31">
        <v>30</v>
      </c>
      <c r="G279" s="19" t="s">
        <v>80</v>
      </c>
    </row>
    <row r="280" spans="1:7" x14ac:dyDescent="0.3">
      <c r="A280" s="17" t="str">
        <f t="shared" si="5"/>
        <v>2. Diner/Charcuterie</v>
      </c>
      <c r="B280" s="28" t="s">
        <v>67</v>
      </c>
      <c r="C280" s="19" t="s">
        <v>374</v>
      </c>
      <c r="D280" s="19" t="s">
        <v>269</v>
      </c>
      <c r="E280" s="19" t="s">
        <v>21</v>
      </c>
      <c r="F280" s="31">
        <v>30</v>
      </c>
      <c r="G280" s="19" t="s">
        <v>80</v>
      </c>
    </row>
    <row r="281" spans="1:7" x14ac:dyDescent="0.3">
      <c r="A281" s="17" t="str">
        <f t="shared" si="5"/>
        <v>2. Diner/Carotte</v>
      </c>
      <c r="B281" s="28" t="s">
        <v>67</v>
      </c>
      <c r="C281" s="19" t="s">
        <v>279</v>
      </c>
      <c r="D281" s="19" t="s">
        <v>279</v>
      </c>
      <c r="E281" s="19" t="s">
        <v>26</v>
      </c>
      <c r="F281" s="31">
        <v>50</v>
      </c>
      <c r="G281" s="19" t="s">
        <v>22</v>
      </c>
    </row>
    <row r="282" spans="1:7" x14ac:dyDescent="0.3">
      <c r="A282" s="17" t="str">
        <f t="shared" si="5"/>
        <v>3. Souper/Tzatziki - Concombre, Ail</v>
      </c>
      <c r="B282" s="28" t="s">
        <v>49</v>
      </c>
      <c r="C282" s="19" t="s">
        <v>29</v>
      </c>
      <c r="D282" s="19" t="s">
        <v>13</v>
      </c>
      <c r="E282" s="19" t="s">
        <v>14</v>
      </c>
      <c r="F282" s="31">
        <v>100</v>
      </c>
      <c r="G282" s="19" t="s">
        <v>15</v>
      </c>
    </row>
    <row r="283" spans="1:7" x14ac:dyDescent="0.3">
      <c r="A283" s="17" t="str">
        <f t="shared" si="5"/>
        <v>3. Souper/Tzatziki - Concombre, Ail</v>
      </c>
      <c r="B283" s="28" t="s">
        <v>49</v>
      </c>
      <c r="C283" s="19" t="s">
        <v>29</v>
      </c>
      <c r="D283" s="19" t="s">
        <v>30</v>
      </c>
      <c r="E283" s="19" t="s">
        <v>26</v>
      </c>
      <c r="F283" s="31">
        <v>0.2</v>
      </c>
      <c r="G283" s="19" t="s">
        <v>18</v>
      </c>
    </row>
    <row r="284" spans="1:7" x14ac:dyDescent="0.3">
      <c r="A284" s="17" t="str">
        <f t="shared" si="5"/>
        <v>3. Souper/Tzatziki - Concombre, Ail</v>
      </c>
      <c r="B284" s="28" t="s">
        <v>49</v>
      </c>
      <c r="C284" s="19" t="s">
        <v>29</v>
      </c>
      <c r="D284" s="19" t="s">
        <v>31</v>
      </c>
      <c r="E284" s="19" t="s">
        <v>26</v>
      </c>
      <c r="F284" s="31">
        <v>0.4</v>
      </c>
      <c r="G284" s="19" t="s">
        <v>32</v>
      </c>
    </row>
    <row r="285" spans="1:7" x14ac:dyDescent="0.3">
      <c r="A285" s="17" t="str">
        <f t="shared" si="5"/>
        <v>3. Souper/Tzatziki - Concombre, Ail</v>
      </c>
      <c r="B285" s="28" t="s">
        <v>49</v>
      </c>
      <c r="C285" s="19" t="s">
        <v>29</v>
      </c>
      <c r="D285" s="19" t="s">
        <v>33</v>
      </c>
      <c r="E285" s="19" t="s">
        <v>24</v>
      </c>
      <c r="F285" s="31">
        <v>5</v>
      </c>
      <c r="G285" s="19" t="s">
        <v>15</v>
      </c>
    </row>
    <row r="286" spans="1:7" x14ac:dyDescent="0.3">
      <c r="A286" s="17" t="str">
        <f t="shared" si="5"/>
        <v>3. Souper/Tzatziki - Concombre, Ail</v>
      </c>
      <c r="B286" s="28" t="s">
        <v>49</v>
      </c>
      <c r="C286" s="19" t="s">
        <v>29</v>
      </c>
      <c r="D286" s="19" t="s">
        <v>34</v>
      </c>
      <c r="E286" s="19" t="s">
        <v>24</v>
      </c>
      <c r="F286" s="31">
        <v>5</v>
      </c>
      <c r="G286" s="19" t="s">
        <v>15</v>
      </c>
    </row>
    <row r="287" spans="1:7" x14ac:dyDescent="0.3">
      <c r="A287" s="17" t="str">
        <f t="shared" si="5"/>
        <v>3. Souper/Tzatziki - Concombre, Ail</v>
      </c>
      <c r="B287" s="28" t="s">
        <v>49</v>
      </c>
      <c r="C287" s="19" t="s">
        <v>29</v>
      </c>
      <c r="D287" s="19" t="s">
        <v>85</v>
      </c>
      <c r="E287" s="19" t="s">
        <v>26</v>
      </c>
      <c r="F287" s="31">
        <v>0.2</v>
      </c>
      <c r="G287" s="19" t="s">
        <v>83</v>
      </c>
    </row>
    <row r="288" spans="1:7" x14ac:dyDescent="0.3">
      <c r="A288" s="17" t="str">
        <f t="shared" si="5"/>
        <v>3. Souper/Tostitos Scoops</v>
      </c>
      <c r="B288" s="28" t="s">
        <v>49</v>
      </c>
      <c r="C288" s="19" t="s">
        <v>402</v>
      </c>
      <c r="D288" s="19" t="s">
        <v>402</v>
      </c>
      <c r="E288" s="19" t="s">
        <v>24</v>
      </c>
      <c r="F288" s="31">
        <v>80</v>
      </c>
      <c r="G288" s="19" t="s">
        <v>80</v>
      </c>
    </row>
    <row r="289" spans="1:7" x14ac:dyDescent="0.3">
      <c r="A289" s="17" t="str">
        <f t="shared" si="5"/>
        <v>3. Souper/Tostitos Scoops</v>
      </c>
      <c r="B289" s="28" t="s">
        <v>49</v>
      </c>
      <c r="C289" s="19" t="s">
        <v>402</v>
      </c>
      <c r="D289" s="19" t="s">
        <v>137</v>
      </c>
      <c r="E289" s="19" t="s">
        <v>24</v>
      </c>
      <c r="F289" s="31">
        <v>45</v>
      </c>
      <c r="G289" s="19" t="s">
        <v>15</v>
      </c>
    </row>
    <row r="290" spans="1:7" x14ac:dyDescent="0.3">
      <c r="A290" s="17" t="str">
        <f t="shared" si="5"/>
        <v>3. Souper/Thé glacé</v>
      </c>
      <c r="B290" s="28" t="s">
        <v>49</v>
      </c>
      <c r="C290" s="19" t="s">
        <v>415</v>
      </c>
      <c r="D290" s="19" t="s">
        <v>416</v>
      </c>
      <c r="E290" s="19" t="s">
        <v>24</v>
      </c>
      <c r="F290" s="31">
        <v>25</v>
      </c>
      <c r="G290" s="19" t="s">
        <v>80</v>
      </c>
    </row>
    <row r="291" spans="1:7" x14ac:dyDescent="0.3">
      <c r="A291" s="17" t="str">
        <f t="shared" si="5"/>
        <v>3. Souper/Tazitziki Grec</v>
      </c>
      <c r="B291" s="28" t="s">
        <v>49</v>
      </c>
      <c r="C291" s="19" t="s">
        <v>367</v>
      </c>
      <c r="D291" s="19" t="s">
        <v>368</v>
      </c>
      <c r="E291" s="19" t="s">
        <v>14</v>
      </c>
      <c r="F291" s="31">
        <v>60</v>
      </c>
      <c r="G291" s="19" t="s">
        <v>15</v>
      </c>
    </row>
    <row r="292" spans="1:7" x14ac:dyDescent="0.3">
      <c r="A292" s="17" t="str">
        <f t="shared" si="5"/>
        <v>3. Souper/Spaghetti bolognaise</v>
      </c>
      <c r="B292" s="28" t="s">
        <v>49</v>
      </c>
      <c r="C292" s="19" t="s">
        <v>43</v>
      </c>
      <c r="D292" s="19" t="s">
        <v>44</v>
      </c>
      <c r="E292" s="19" t="s">
        <v>24</v>
      </c>
      <c r="F292" s="31">
        <v>70</v>
      </c>
      <c r="G292" s="19" t="s">
        <v>22</v>
      </c>
    </row>
    <row r="293" spans="1:7" x14ac:dyDescent="0.3">
      <c r="A293" s="17" t="str">
        <f t="shared" si="5"/>
        <v>3. Souper/Spaghetti bolognaise</v>
      </c>
      <c r="B293" s="28" t="s">
        <v>49</v>
      </c>
      <c r="C293" s="19" t="s">
        <v>43</v>
      </c>
      <c r="D293" s="19" t="s">
        <v>45</v>
      </c>
      <c r="E293" s="19" t="s">
        <v>21</v>
      </c>
      <c r="F293" s="31">
        <v>100</v>
      </c>
      <c r="G293" s="19" t="s">
        <v>22</v>
      </c>
    </row>
    <row r="294" spans="1:7" x14ac:dyDescent="0.3">
      <c r="A294" s="17" t="str">
        <f t="shared" si="5"/>
        <v>3. Souper/Spaghetti bolognaise</v>
      </c>
      <c r="B294" s="28" t="s">
        <v>49</v>
      </c>
      <c r="C294" s="19" t="s">
        <v>43</v>
      </c>
      <c r="D294" s="19" t="s">
        <v>46</v>
      </c>
      <c r="E294" s="19" t="s">
        <v>24</v>
      </c>
      <c r="F294" s="31">
        <v>60</v>
      </c>
      <c r="G294" s="19" t="s">
        <v>15</v>
      </c>
    </row>
    <row r="295" spans="1:7" x14ac:dyDescent="0.3">
      <c r="A295" s="17" t="str">
        <f t="shared" si="5"/>
        <v>3. Souper/Spaghetti à la viande</v>
      </c>
      <c r="B295" s="28" t="s">
        <v>49</v>
      </c>
      <c r="C295" s="19" t="s">
        <v>478</v>
      </c>
      <c r="D295" s="19" t="s">
        <v>46</v>
      </c>
      <c r="E295" s="19" t="s">
        <v>24</v>
      </c>
      <c r="F295" s="31">
        <v>60</v>
      </c>
      <c r="G295" s="19" t="s">
        <v>15</v>
      </c>
    </row>
    <row r="296" spans="1:7" x14ac:dyDescent="0.3">
      <c r="A296" s="17" t="str">
        <f t="shared" si="5"/>
        <v>3. Souper/Spaghetti à la viande</v>
      </c>
      <c r="B296" s="28" t="s">
        <v>49</v>
      </c>
      <c r="C296" s="19" t="s">
        <v>478</v>
      </c>
      <c r="D296" s="19" t="s">
        <v>44</v>
      </c>
      <c r="E296" s="19" t="s">
        <v>19</v>
      </c>
      <c r="F296" s="31">
        <v>70</v>
      </c>
      <c r="G296" s="19" t="s">
        <v>22</v>
      </c>
    </row>
    <row r="297" spans="1:7" x14ac:dyDescent="0.3">
      <c r="A297" s="17" t="str">
        <f t="shared" si="5"/>
        <v>3. Souper/Spaghetti à la viande</v>
      </c>
      <c r="B297" s="28" t="s">
        <v>49</v>
      </c>
      <c r="C297" s="19" t="s">
        <v>478</v>
      </c>
      <c r="D297" s="19" t="s">
        <v>479</v>
      </c>
      <c r="E297" s="19" t="s">
        <v>21</v>
      </c>
      <c r="F297" s="31">
        <v>100</v>
      </c>
      <c r="G297" s="19" t="s">
        <v>22</v>
      </c>
    </row>
    <row r="298" spans="1:7" x14ac:dyDescent="0.3">
      <c r="A298" s="17" t="str">
        <f t="shared" si="5"/>
        <v>3. Souper/Soupe de courge</v>
      </c>
      <c r="B298" s="28" t="s">
        <v>49</v>
      </c>
      <c r="C298" s="19" t="s">
        <v>50</v>
      </c>
      <c r="D298" s="19" t="s">
        <v>51</v>
      </c>
      <c r="E298" s="19" t="s">
        <v>26</v>
      </c>
      <c r="F298" s="31">
        <v>9.375E-2</v>
      </c>
      <c r="G298" s="19" t="s">
        <v>18</v>
      </c>
    </row>
    <row r="299" spans="1:7" x14ac:dyDescent="0.3">
      <c r="A299" s="17" t="str">
        <f t="shared" si="5"/>
        <v>3. Souper/Soupe de courge</v>
      </c>
      <c r="B299" s="28" t="s">
        <v>49</v>
      </c>
      <c r="C299" s="19" t="s">
        <v>50</v>
      </c>
      <c r="D299" s="19" t="s">
        <v>52</v>
      </c>
      <c r="E299" s="19" t="s">
        <v>24</v>
      </c>
      <c r="F299" s="31">
        <v>112.5</v>
      </c>
      <c r="G299" s="19" t="s">
        <v>15</v>
      </c>
    </row>
    <row r="300" spans="1:7" x14ac:dyDescent="0.3">
      <c r="A300" s="17" t="str">
        <f t="shared" si="5"/>
        <v>3. Souper/Soupe de courge</v>
      </c>
      <c r="B300" s="28" t="s">
        <v>49</v>
      </c>
      <c r="C300" s="19" t="s">
        <v>50</v>
      </c>
      <c r="D300" s="19" t="s">
        <v>53</v>
      </c>
      <c r="E300" s="19" t="s">
        <v>26</v>
      </c>
      <c r="F300" s="31">
        <v>6.25E-2</v>
      </c>
      <c r="G300" s="19" t="s">
        <v>18</v>
      </c>
    </row>
    <row r="301" spans="1:7" x14ac:dyDescent="0.3">
      <c r="A301" s="17" t="str">
        <f t="shared" si="5"/>
        <v>3. Souper/Soupe de courge</v>
      </c>
      <c r="B301" s="28" t="s">
        <v>49</v>
      </c>
      <c r="C301" s="19" t="s">
        <v>50</v>
      </c>
      <c r="D301" s="19" t="s">
        <v>54</v>
      </c>
      <c r="E301" s="19" t="s">
        <v>24</v>
      </c>
      <c r="F301" s="31"/>
    </row>
    <row r="302" spans="1:7" x14ac:dyDescent="0.3">
      <c r="A302" s="17" t="str">
        <f t="shared" si="5"/>
        <v>3. Souper/Soupe</v>
      </c>
      <c r="B302" s="28" t="s">
        <v>49</v>
      </c>
      <c r="C302" s="19" t="s">
        <v>56</v>
      </c>
      <c r="D302" s="19" t="s">
        <v>57</v>
      </c>
      <c r="E302" s="19" t="s">
        <v>24</v>
      </c>
      <c r="F302" s="31">
        <v>150</v>
      </c>
      <c r="G302" s="19" t="s">
        <v>15</v>
      </c>
    </row>
    <row r="303" spans="1:7" x14ac:dyDescent="0.3">
      <c r="A303" s="17" t="str">
        <f t="shared" si="5"/>
        <v>3. Souper/Soupe</v>
      </c>
      <c r="B303" s="28" t="s">
        <v>49</v>
      </c>
      <c r="C303" s="19" t="s">
        <v>56</v>
      </c>
      <c r="D303" s="19" t="s">
        <v>323</v>
      </c>
      <c r="E303" s="19" t="s">
        <v>26</v>
      </c>
      <c r="F303" s="31">
        <v>0.05</v>
      </c>
      <c r="G303" s="19" t="s">
        <v>136</v>
      </c>
    </row>
    <row r="304" spans="1:7" x14ac:dyDescent="0.3">
      <c r="A304" s="17" t="str">
        <f t="shared" si="5"/>
        <v>3. Souper/Sides</v>
      </c>
      <c r="B304" s="28" t="s">
        <v>49</v>
      </c>
      <c r="C304" s="19" t="s">
        <v>64</v>
      </c>
      <c r="D304" s="19" t="s">
        <v>65</v>
      </c>
      <c r="E304" s="29" t="s">
        <v>506</v>
      </c>
      <c r="F304" s="31">
        <v>4</v>
      </c>
      <c r="G304" s="19" t="s">
        <v>18</v>
      </c>
    </row>
    <row r="305" spans="1:7" x14ac:dyDescent="0.3">
      <c r="A305" s="17" t="str">
        <f t="shared" si="5"/>
        <v>3. Souper/Sauce tomate</v>
      </c>
      <c r="B305" s="28" t="s">
        <v>49</v>
      </c>
      <c r="C305" s="19" t="s">
        <v>46</v>
      </c>
      <c r="D305" s="19" t="s">
        <v>476</v>
      </c>
      <c r="E305" s="19" t="s">
        <v>24</v>
      </c>
      <c r="F305" s="31"/>
      <c r="G305" s="19" t="s">
        <v>470</v>
      </c>
    </row>
    <row r="306" spans="1:7" x14ac:dyDescent="0.3">
      <c r="A306" s="17" t="str">
        <f t="shared" ref="A306:A368" si="6">CONCATENATE(B306,"/",C306)</f>
        <v>3. Souper/Sauce tomate</v>
      </c>
      <c r="B306" s="28" t="s">
        <v>49</v>
      </c>
      <c r="C306" s="19" t="s">
        <v>46</v>
      </c>
      <c r="D306" s="19" t="s">
        <v>477</v>
      </c>
      <c r="E306" s="19" t="s">
        <v>26</v>
      </c>
      <c r="F306" s="31"/>
      <c r="G306" s="19" t="s">
        <v>18</v>
      </c>
    </row>
    <row r="307" spans="1:7" x14ac:dyDescent="0.3">
      <c r="A307" s="17" t="str">
        <f t="shared" si="6"/>
        <v>3. Souper/Sauce tomate</v>
      </c>
      <c r="B307" s="28" t="s">
        <v>49</v>
      </c>
      <c r="C307" s="19" t="s">
        <v>46</v>
      </c>
      <c r="D307" s="19" t="s">
        <v>373</v>
      </c>
      <c r="E307" s="19" t="s">
        <v>24</v>
      </c>
      <c r="F307" s="31"/>
      <c r="G307" s="19" t="s">
        <v>138</v>
      </c>
    </row>
    <row r="308" spans="1:7" x14ac:dyDescent="0.3">
      <c r="A308" s="17" t="str">
        <f t="shared" si="6"/>
        <v>3. Souper/Sauce tomate</v>
      </c>
      <c r="B308" s="28" t="s">
        <v>49</v>
      </c>
      <c r="C308" s="19" t="s">
        <v>46</v>
      </c>
      <c r="D308" s="19" t="s">
        <v>298</v>
      </c>
      <c r="E308" s="19" t="s">
        <v>26</v>
      </c>
      <c r="F308" s="31"/>
      <c r="G308" s="19" t="s">
        <v>18</v>
      </c>
    </row>
    <row r="309" spans="1:7" x14ac:dyDescent="0.3">
      <c r="A309" s="17" t="str">
        <f t="shared" si="6"/>
        <v>3. Souper/Sauce tomate</v>
      </c>
      <c r="B309" s="28" t="s">
        <v>49</v>
      </c>
      <c r="C309" s="19" t="s">
        <v>46</v>
      </c>
      <c r="D309" s="19" t="s">
        <v>82</v>
      </c>
      <c r="E309" s="19" t="s">
        <v>26</v>
      </c>
      <c r="F309" s="31"/>
      <c r="G309" s="19" t="s">
        <v>18</v>
      </c>
    </row>
    <row r="310" spans="1:7" x14ac:dyDescent="0.3">
      <c r="A310" s="17" t="str">
        <f t="shared" si="6"/>
        <v>3. Souper/Salade grecque</v>
      </c>
      <c r="B310" s="28" t="s">
        <v>49</v>
      </c>
      <c r="C310" s="19" t="s">
        <v>73</v>
      </c>
      <c r="D310" s="19" t="s">
        <v>74</v>
      </c>
      <c r="E310" s="19" t="s">
        <v>14</v>
      </c>
      <c r="F310" s="31">
        <v>27.777777777777779</v>
      </c>
      <c r="G310" s="19" t="s">
        <v>15</v>
      </c>
    </row>
    <row r="311" spans="1:7" x14ac:dyDescent="0.3">
      <c r="A311" s="17" t="str">
        <f t="shared" si="6"/>
        <v>3. Souper/Salade grecque</v>
      </c>
      <c r="B311" s="28" t="s">
        <v>49</v>
      </c>
      <c r="C311" s="19" t="s">
        <v>73</v>
      </c>
      <c r="D311" s="19" t="s">
        <v>28</v>
      </c>
      <c r="E311" s="19" t="s">
        <v>26</v>
      </c>
      <c r="F311" s="31">
        <v>0.33333333333333331</v>
      </c>
      <c r="G311" s="19" t="s">
        <v>18</v>
      </c>
    </row>
    <row r="312" spans="1:7" x14ac:dyDescent="0.3">
      <c r="A312" s="17" t="str">
        <f t="shared" si="6"/>
        <v>3. Souper/Salade grecque</v>
      </c>
      <c r="B312" s="28" t="s">
        <v>49</v>
      </c>
      <c r="C312" s="19" t="s">
        <v>73</v>
      </c>
      <c r="D312" s="19" t="s">
        <v>30</v>
      </c>
      <c r="E312" s="19" t="s">
        <v>26</v>
      </c>
      <c r="F312" s="31">
        <v>0.22222222222222221</v>
      </c>
      <c r="G312" s="19" t="s">
        <v>18</v>
      </c>
    </row>
    <row r="313" spans="1:7" x14ac:dyDescent="0.3">
      <c r="A313" s="17" t="str">
        <f t="shared" si="6"/>
        <v>3. Souper/Salade grecque</v>
      </c>
      <c r="B313" s="28" t="s">
        <v>49</v>
      </c>
      <c r="C313" s="19" t="s">
        <v>73</v>
      </c>
      <c r="D313" s="19" t="s">
        <v>75</v>
      </c>
      <c r="E313" s="19" t="s">
        <v>26</v>
      </c>
      <c r="F313" s="31">
        <v>0.1111111111111111</v>
      </c>
      <c r="G313" s="19" t="s">
        <v>18</v>
      </c>
    </row>
    <row r="314" spans="1:7" x14ac:dyDescent="0.3">
      <c r="A314" s="17" t="str">
        <f t="shared" si="6"/>
        <v>3. Souper/Salade grecque</v>
      </c>
      <c r="B314" s="28" t="s">
        <v>49</v>
      </c>
      <c r="C314" s="19" t="s">
        <v>73</v>
      </c>
      <c r="D314" s="19" t="s">
        <v>76</v>
      </c>
      <c r="E314" s="19" t="s">
        <v>24</v>
      </c>
      <c r="F314" s="31">
        <v>6.9444444444444446</v>
      </c>
      <c r="G314" s="19" t="s">
        <v>15</v>
      </c>
    </row>
    <row r="315" spans="1:7" x14ac:dyDescent="0.3">
      <c r="A315" s="17" t="str">
        <f t="shared" si="6"/>
        <v>3. Souper/Salade grecque</v>
      </c>
      <c r="B315" s="28" t="s">
        <v>49</v>
      </c>
      <c r="C315" s="19" t="s">
        <v>73</v>
      </c>
      <c r="D315" s="19" t="s">
        <v>34</v>
      </c>
      <c r="E315" s="19" t="s">
        <v>24</v>
      </c>
      <c r="F315" s="31">
        <v>2.2222222222222223</v>
      </c>
      <c r="G315" s="19" t="s">
        <v>15</v>
      </c>
    </row>
    <row r="316" spans="1:7" x14ac:dyDescent="0.3">
      <c r="A316" s="17" t="str">
        <f t="shared" si="6"/>
        <v>3. Souper/Salade grecque</v>
      </c>
      <c r="B316" s="28" t="s">
        <v>49</v>
      </c>
      <c r="C316" s="19" t="s">
        <v>73</v>
      </c>
      <c r="D316" s="19" t="s">
        <v>77</v>
      </c>
      <c r="E316" s="19" t="s">
        <v>24</v>
      </c>
      <c r="F316" s="31">
        <v>0.83333333333333337</v>
      </c>
      <c r="G316" s="19" t="s">
        <v>15</v>
      </c>
    </row>
    <row r="317" spans="1:7" x14ac:dyDescent="0.3">
      <c r="A317" s="17" t="str">
        <f t="shared" si="6"/>
        <v>3. Souper/Salade César</v>
      </c>
      <c r="B317" s="28" t="s">
        <v>49</v>
      </c>
      <c r="C317" s="19" t="s">
        <v>87</v>
      </c>
      <c r="D317" s="19" t="s">
        <v>88</v>
      </c>
      <c r="E317" s="19" t="s">
        <v>26</v>
      </c>
      <c r="F317" s="31">
        <v>0.2</v>
      </c>
      <c r="G317" s="19" t="s">
        <v>18</v>
      </c>
    </row>
    <row r="318" spans="1:7" x14ac:dyDescent="0.3">
      <c r="A318" s="17" t="str">
        <f t="shared" si="6"/>
        <v>3. Souper/Salade César</v>
      </c>
      <c r="B318" s="28" t="s">
        <v>49</v>
      </c>
      <c r="C318" s="19" t="s">
        <v>87</v>
      </c>
      <c r="D318" s="19" t="s">
        <v>89</v>
      </c>
      <c r="E318" s="19" t="s">
        <v>26</v>
      </c>
      <c r="F318" s="31">
        <v>50</v>
      </c>
      <c r="G318" s="19" t="s">
        <v>80</v>
      </c>
    </row>
    <row r="319" spans="1:7" x14ac:dyDescent="0.3">
      <c r="A319" s="17" t="str">
        <f t="shared" si="6"/>
        <v>3. Souper/Salade César</v>
      </c>
      <c r="B319" s="28" t="s">
        <v>49</v>
      </c>
      <c r="C319" s="19" t="s">
        <v>87</v>
      </c>
      <c r="D319" s="19" t="s">
        <v>90</v>
      </c>
      <c r="E319" s="19" t="s">
        <v>24</v>
      </c>
      <c r="F319" s="31">
        <v>20</v>
      </c>
      <c r="G319" s="19" t="s">
        <v>15</v>
      </c>
    </row>
    <row r="320" spans="1:7" x14ac:dyDescent="0.3">
      <c r="A320" s="17" t="str">
        <f t="shared" si="6"/>
        <v>3. Souper/Salade césar</v>
      </c>
      <c r="B320" s="28" t="s">
        <v>49</v>
      </c>
      <c r="C320" s="19" t="s">
        <v>302</v>
      </c>
      <c r="D320" s="19" t="s">
        <v>303</v>
      </c>
      <c r="E320" s="19" t="s">
        <v>26</v>
      </c>
      <c r="F320" s="31">
        <v>0.16669999999999999</v>
      </c>
      <c r="G320" s="19" t="s">
        <v>18</v>
      </c>
    </row>
    <row r="321" spans="1:7" x14ac:dyDescent="0.3">
      <c r="A321" s="17" t="str">
        <f t="shared" si="6"/>
        <v>3. Souper/Salade césar</v>
      </c>
      <c r="B321" s="28" t="s">
        <v>49</v>
      </c>
      <c r="C321" s="19" t="s">
        <v>302</v>
      </c>
      <c r="D321" s="19" t="s">
        <v>304</v>
      </c>
      <c r="E321" s="19" t="s">
        <v>19</v>
      </c>
      <c r="F321" s="31">
        <v>0.02</v>
      </c>
      <c r="G321" s="19" t="s">
        <v>18</v>
      </c>
    </row>
    <row r="322" spans="1:7" x14ac:dyDescent="0.3">
      <c r="A322" s="17" t="str">
        <f t="shared" si="6"/>
        <v>3. Souper/Salade césar</v>
      </c>
      <c r="B322" s="28" t="s">
        <v>49</v>
      </c>
      <c r="C322" s="19" t="s">
        <v>302</v>
      </c>
      <c r="D322" s="19" t="s">
        <v>305</v>
      </c>
      <c r="E322" s="19" t="s">
        <v>21</v>
      </c>
      <c r="F322" s="31">
        <v>0.02</v>
      </c>
      <c r="G322" s="19" t="s">
        <v>18</v>
      </c>
    </row>
    <row r="323" spans="1:7" x14ac:dyDescent="0.3">
      <c r="A323" s="17" t="str">
        <f t="shared" si="6"/>
        <v>3. Souper/Salade césar</v>
      </c>
      <c r="B323" s="28" t="s">
        <v>49</v>
      </c>
      <c r="C323" s="19" t="s">
        <v>302</v>
      </c>
      <c r="D323" s="19" t="s">
        <v>306</v>
      </c>
      <c r="E323" s="19" t="s">
        <v>14</v>
      </c>
      <c r="F323" s="31">
        <v>1.0309278350515464E-2</v>
      </c>
      <c r="G323" s="19" t="s">
        <v>18</v>
      </c>
    </row>
    <row r="324" spans="1:7" x14ac:dyDescent="0.3">
      <c r="A324" s="17" t="str">
        <f t="shared" si="6"/>
        <v>3. Souper/Salade César</v>
      </c>
      <c r="B324" s="28" t="s">
        <v>49</v>
      </c>
      <c r="C324" s="19" t="s">
        <v>87</v>
      </c>
      <c r="D324" s="19" t="s">
        <v>71</v>
      </c>
      <c r="E324" s="19" t="s">
        <v>26</v>
      </c>
      <c r="F324" s="31">
        <v>0.33333333333333331</v>
      </c>
      <c r="G324" s="19" t="s">
        <v>18</v>
      </c>
    </row>
    <row r="325" spans="1:7" x14ac:dyDescent="0.3">
      <c r="A325" s="17" t="str">
        <f t="shared" si="6"/>
        <v>3. Souper/Salade César</v>
      </c>
      <c r="B325" s="28" t="s">
        <v>49</v>
      </c>
      <c r="C325" s="19" t="s">
        <v>87</v>
      </c>
      <c r="D325" s="19" t="s">
        <v>187</v>
      </c>
      <c r="E325" s="19" t="s">
        <v>21</v>
      </c>
      <c r="F325" s="31">
        <v>80</v>
      </c>
      <c r="G325" s="19" t="s">
        <v>80</v>
      </c>
    </row>
    <row r="326" spans="1:7" x14ac:dyDescent="0.3">
      <c r="A326" s="17" t="str">
        <f t="shared" si="6"/>
        <v>3. Souper/Salade</v>
      </c>
      <c r="B326" s="28" t="s">
        <v>49</v>
      </c>
      <c r="C326" s="19" t="s">
        <v>91</v>
      </c>
      <c r="D326" s="19" t="s">
        <v>25</v>
      </c>
      <c r="E326" s="19" t="s">
        <v>26</v>
      </c>
      <c r="F326" s="31">
        <v>0.17</v>
      </c>
      <c r="G326" s="19" t="s">
        <v>18</v>
      </c>
    </row>
    <row r="327" spans="1:7" x14ac:dyDescent="0.3">
      <c r="A327" s="17" t="str">
        <f t="shared" si="6"/>
        <v>3. Souper/Salade</v>
      </c>
      <c r="B327" s="28" t="s">
        <v>49</v>
      </c>
      <c r="C327" s="19" t="s">
        <v>91</v>
      </c>
      <c r="D327" s="19" t="s">
        <v>30</v>
      </c>
      <c r="E327" s="19" t="s">
        <v>26</v>
      </c>
      <c r="F327" s="31">
        <v>0.17</v>
      </c>
      <c r="G327" s="19" t="s">
        <v>18</v>
      </c>
    </row>
    <row r="328" spans="1:7" x14ac:dyDescent="0.3">
      <c r="A328" s="17" t="str">
        <f t="shared" si="6"/>
        <v>3. Souper/Salade</v>
      </c>
      <c r="B328" s="28" t="s">
        <v>49</v>
      </c>
      <c r="C328" s="19" t="s">
        <v>91</v>
      </c>
      <c r="D328" s="19" t="s">
        <v>28</v>
      </c>
      <c r="E328" s="19" t="s">
        <v>26</v>
      </c>
      <c r="F328" s="31">
        <v>0.2</v>
      </c>
      <c r="G328" s="19" t="s">
        <v>18</v>
      </c>
    </row>
    <row r="329" spans="1:7" x14ac:dyDescent="0.3">
      <c r="A329" s="17" t="str">
        <f t="shared" si="6"/>
        <v>3. Souper/Salade</v>
      </c>
      <c r="B329" s="28" t="s">
        <v>49</v>
      </c>
      <c r="C329" s="19" t="s">
        <v>91</v>
      </c>
      <c r="D329" s="19" t="s">
        <v>92</v>
      </c>
      <c r="E329" s="19" t="s">
        <v>24</v>
      </c>
      <c r="F329" s="31">
        <v>15</v>
      </c>
      <c r="G329" s="19" t="s">
        <v>15</v>
      </c>
    </row>
    <row r="330" spans="1:7" x14ac:dyDescent="0.3">
      <c r="A330" s="17" t="str">
        <f t="shared" si="6"/>
        <v>3. Souper/Salade</v>
      </c>
      <c r="B330" s="28" t="s">
        <v>49</v>
      </c>
      <c r="C330" s="19" t="s">
        <v>91</v>
      </c>
      <c r="D330" s="19" t="s">
        <v>407</v>
      </c>
      <c r="E330" s="19" t="s">
        <v>26</v>
      </c>
      <c r="F330" s="31">
        <v>0.17</v>
      </c>
      <c r="G330" s="19" t="s">
        <v>18</v>
      </c>
    </row>
    <row r="331" spans="1:7" x14ac:dyDescent="0.3">
      <c r="A331" s="17" t="str">
        <f t="shared" si="6"/>
        <v>3. Souper/Salade</v>
      </c>
      <c r="B331" s="28" t="s">
        <v>49</v>
      </c>
      <c r="C331" s="19" t="s">
        <v>91</v>
      </c>
      <c r="D331" s="19" t="s">
        <v>411</v>
      </c>
      <c r="E331" s="19" t="s">
        <v>24</v>
      </c>
      <c r="F331" s="31">
        <v>15</v>
      </c>
      <c r="G331" s="19" t="s">
        <v>15</v>
      </c>
    </row>
    <row r="332" spans="1:7" x14ac:dyDescent="0.3">
      <c r="A332" s="17" t="str">
        <f t="shared" si="6"/>
        <v>3. Souper/Purée</v>
      </c>
      <c r="B332" s="28" t="s">
        <v>49</v>
      </c>
      <c r="C332" s="19" t="s">
        <v>272</v>
      </c>
      <c r="D332" s="19" t="s">
        <v>273</v>
      </c>
      <c r="E332" s="19" t="s">
        <v>19</v>
      </c>
      <c r="F332" s="31">
        <v>20</v>
      </c>
      <c r="G332" s="19" t="s">
        <v>22</v>
      </c>
    </row>
    <row r="333" spans="1:7" x14ac:dyDescent="0.3">
      <c r="A333" s="17" t="str">
        <f t="shared" si="6"/>
        <v>3. Souper/Purée</v>
      </c>
      <c r="B333" s="28" t="s">
        <v>49</v>
      </c>
      <c r="C333" s="19" t="s">
        <v>272</v>
      </c>
      <c r="D333" s="19" t="s">
        <v>145</v>
      </c>
      <c r="E333" s="19" t="s">
        <v>14</v>
      </c>
      <c r="F333" s="31">
        <v>5.6000000000000001E-2</v>
      </c>
      <c r="G333" s="19" t="s">
        <v>146</v>
      </c>
    </row>
    <row r="334" spans="1:7" x14ac:dyDescent="0.3">
      <c r="A334" s="17" t="str">
        <f t="shared" si="6"/>
        <v>3. Souper/Purée</v>
      </c>
      <c r="B334" s="28" t="s">
        <v>49</v>
      </c>
      <c r="C334" s="19" t="s">
        <v>272</v>
      </c>
      <c r="D334" s="19" t="s">
        <v>149</v>
      </c>
      <c r="E334" s="19" t="s">
        <v>14</v>
      </c>
      <c r="F334" s="31">
        <v>1.2200000000000001E-2</v>
      </c>
      <c r="G334" s="19" t="s">
        <v>217</v>
      </c>
    </row>
    <row r="335" spans="1:7" x14ac:dyDescent="0.3">
      <c r="A335" s="17" t="str">
        <f t="shared" si="6"/>
        <v>3. Souper/Poutine Hot-Dog</v>
      </c>
      <c r="B335" s="28" t="s">
        <v>49</v>
      </c>
      <c r="C335" s="19" t="s">
        <v>94</v>
      </c>
      <c r="D335" s="19" t="s">
        <v>95</v>
      </c>
      <c r="E335" s="19" t="s">
        <v>24</v>
      </c>
      <c r="F335" s="31">
        <v>200</v>
      </c>
      <c r="G335" s="19" t="s">
        <v>80</v>
      </c>
    </row>
    <row r="336" spans="1:7" x14ac:dyDescent="0.3">
      <c r="A336" s="17" t="str">
        <f t="shared" si="6"/>
        <v>3. Souper/Poutine Hot-Dog</v>
      </c>
      <c r="B336" s="28" t="s">
        <v>49</v>
      </c>
      <c r="C336" s="19" t="s">
        <v>94</v>
      </c>
      <c r="D336" s="19" t="s">
        <v>96</v>
      </c>
      <c r="E336" s="19" t="s">
        <v>24</v>
      </c>
      <c r="F336" s="31">
        <v>75</v>
      </c>
      <c r="G336" s="19" t="s">
        <v>15</v>
      </c>
    </row>
    <row r="337" spans="1:7" x14ac:dyDescent="0.3">
      <c r="A337" s="17" t="str">
        <f t="shared" si="6"/>
        <v>3. Souper/Poutine Hot-Dog</v>
      </c>
      <c r="B337" s="28" t="s">
        <v>49</v>
      </c>
      <c r="C337" s="19" t="s">
        <v>94</v>
      </c>
      <c r="D337" s="19" t="s">
        <v>97</v>
      </c>
      <c r="E337" s="19" t="s">
        <v>14</v>
      </c>
      <c r="F337" s="31">
        <v>45</v>
      </c>
      <c r="G337" s="19" t="s">
        <v>80</v>
      </c>
    </row>
    <row r="338" spans="1:7" x14ac:dyDescent="0.3">
      <c r="A338" s="17" t="str">
        <f t="shared" si="6"/>
        <v>3. Souper/Poutine Hot-Dog</v>
      </c>
      <c r="B338" s="28" t="s">
        <v>49</v>
      </c>
      <c r="C338" s="19" t="s">
        <v>94</v>
      </c>
      <c r="D338" s="19" t="s">
        <v>98</v>
      </c>
      <c r="E338" s="19" t="s">
        <v>21</v>
      </c>
      <c r="F338" s="31">
        <v>1.5</v>
      </c>
      <c r="G338" s="19" t="s">
        <v>83</v>
      </c>
    </row>
    <row r="339" spans="1:7" x14ac:dyDescent="0.3">
      <c r="A339" s="17" t="str">
        <f t="shared" si="6"/>
        <v>3. Souper/Poutine Hot-Dog</v>
      </c>
      <c r="B339" s="28" t="s">
        <v>49</v>
      </c>
      <c r="C339" s="19" t="s">
        <v>94</v>
      </c>
      <c r="D339" s="19" t="s">
        <v>75</v>
      </c>
      <c r="E339" s="19" t="s">
        <v>26</v>
      </c>
      <c r="F339" s="31">
        <v>0.25</v>
      </c>
      <c r="G339" s="19" t="s">
        <v>83</v>
      </c>
    </row>
    <row r="340" spans="1:7" x14ac:dyDescent="0.3">
      <c r="A340" s="17" t="str">
        <f t="shared" si="6"/>
        <v>3. Souper/Poutine</v>
      </c>
      <c r="B340" s="28" t="s">
        <v>49</v>
      </c>
      <c r="C340" s="19" t="s">
        <v>387</v>
      </c>
      <c r="D340" s="19" t="s">
        <v>95</v>
      </c>
      <c r="E340" s="19" t="s">
        <v>24</v>
      </c>
      <c r="F340" s="31">
        <v>200</v>
      </c>
      <c r="G340" s="19" t="s">
        <v>80</v>
      </c>
    </row>
    <row r="341" spans="1:7" x14ac:dyDescent="0.3">
      <c r="A341" s="17" t="str">
        <f t="shared" si="6"/>
        <v>3. Souper/Poutine</v>
      </c>
      <c r="B341" s="28" t="s">
        <v>49</v>
      </c>
      <c r="C341" s="19" t="s">
        <v>387</v>
      </c>
      <c r="D341" s="19" t="s">
        <v>96</v>
      </c>
      <c r="E341" s="19" t="s">
        <v>24</v>
      </c>
      <c r="F341" s="31">
        <v>75</v>
      </c>
      <c r="G341" s="19" t="s">
        <v>15</v>
      </c>
    </row>
    <row r="342" spans="1:7" x14ac:dyDescent="0.3">
      <c r="A342" s="17" t="str">
        <f t="shared" si="6"/>
        <v>3. Souper/Poutine</v>
      </c>
      <c r="B342" s="28" t="s">
        <v>49</v>
      </c>
      <c r="C342" s="19" t="s">
        <v>387</v>
      </c>
      <c r="D342" s="19" t="s">
        <v>97</v>
      </c>
      <c r="E342" s="19" t="s">
        <v>14</v>
      </c>
      <c r="F342" s="31">
        <v>45</v>
      </c>
      <c r="G342" s="19" t="s">
        <v>80</v>
      </c>
    </row>
    <row r="343" spans="1:7" x14ac:dyDescent="0.3">
      <c r="A343" s="17" t="str">
        <f t="shared" si="6"/>
        <v>3. Souper/Poutine</v>
      </c>
      <c r="B343" s="28" t="s">
        <v>49</v>
      </c>
      <c r="C343" s="19" t="s">
        <v>387</v>
      </c>
      <c r="D343" s="19" t="s">
        <v>98</v>
      </c>
      <c r="E343" s="19" t="s">
        <v>21</v>
      </c>
      <c r="F343" s="31">
        <v>1.5</v>
      </c>
      <c r="G343" s="19" t="s">
        <v>83</v>
      </c>
    </row>
    <row r="344" spans="1:7" x14ac:dyDescent="0.3">
      <c r="A344" s="17" t="str">
        <f t="shared" si="6"/>
        <v>3. Souper/Poutine</v>
      </c>
      <c r="B344" s="28" t="s">
        <v>49</v>
      </c>
      <c r="C344" s="19" t="s">
        <v>387</v>
      </c>
      <c r="D344" s="19" t="s">
        <v>75</v>
      </c>
      <c r="E344" s="19" t="s">
        <v>26</v>
      </c>
      <c r="F344" s="31">
        <v>0.25</v>
      </c>
      <c r="G344" s="19" t="s">
        <v>83</v>
      </c>
    </row>
    <row r="345" spans="1:7" x14ac:dyDescent="0.3">
      <c r="A345" s="17" t="str">
        <f t="shared" si="6"/>
        <v>3. Souper/Poutine</v>
      </c>
      <c r="B345" s="28" t="s">
        <v>49</v>
      </c>
      <c r="C345" s="19" t="s">
        <v>387</v>
      </c>
      <c r="D345" s="19" t="s">
        <v>150</v>
      </c>
      <c r="E345" s="19" t="s">
        <v>21</v>
      </c>
      <c r="F345" s="31">
        <v>2</v>
      </c>
      <c r="G345" s="19" t="s">
        <v>83</v>
      </c>
    </row>
    <row r="346" spans="1:7" x14ac:dyDescent="0.3">
      <c r="A346" s="17" t="str">
        <f t="shared" si="6"/>
        <v>3. Souper/Poulet au gravy</v>
      </c>
      <c r="B346" s="28" t="s">
        <v>49</v>
      </c>
      <c r="C346" s="19" t="s">
        <v>268</v>
      </c>
      <c r="D346" s="19" t="s">
        <v>269</v>
      </c>
      <c r="E346" s="19" t="s">
        <v>21</v>
      </c>
      <c r="F346" s="31">
        <v>0.1</v>
      </c>
      <c r="G346" s="19" t="s">
        <v>217</v>
      </c>
    </row>
    <row r="347" spans="1:7" x14ac:dyDescent="0.3">
      <c r="A347" s="17" t="str">
        <f t="shared" si="6"/>
        <v>3. Souper/Poulet au gravy</v>
      </c>
      <c r="B347" s="28" t="s">
        <v>49</v>
      </c>
      <c r="C347" s="19" t="s">
        <v>268</v>
      </c>
      <c r="D347" s="19" t="s">
        <v>270</v>
      </c>
      <c r="E347" s="19" t="s">
        <v>24</v>
      </c>
      <c r="F347" s="31">
        <v>0.15</v>
      </c>
      <c r="G347" s="19" t="s">
        <v>146</v>
      </c>
    </row>
    <row r="348" spans="1:7" x14ac:dyDescent="0.3">
      <c r="A348" s="17" t="str">
        <f t="shared" si="6"/>
        <v>3. Souper/Poulet au gravy</v>
      </c>
      <c r="B348" s="28" t="s">
        <v>49</v>
      </c>
      <c r="C348" s="19" t="s">
        <v>268</v>
      </c>
      <c r="D348" s="19" t="s">
        <v>271</v>
      </c>
      <c r="E348" s="19" t="s">
        <v>26</v>
      </c>
      <c r="F348" s="31">
        <v>0.05</v>
      </c>
      <c r="G348" s="19" t="s">
        <v>136</v>
      </c>
    </row>
    <row r="349" spans="1:7" x14ac:dyDescent="0.3">
      <c r="A349" s="17" t="str">
        <f t="shared" si="6"/>
        <v>3. Souper/Poulet à l'italienne</v>
      </c>
      <c r="B349" s="28" t="s">
        <v>49</v>
      </c>
      <c r="C349" s="19" t="s">
        <v>297</v>
      </c>
      <c r="D349" s="19" t="s">
        <v>269</v>
      </c>
      <c r="E349" s="19" t="s">
        <v>21</v>
      </c>
      <c r="F349" s="31">
        <v>90</v>
      </c>
      <c r="G349" s="19" t="s">
        <v>22</v>
      </c>
    </row>
    <row r="350" spans="1:7" x14ac:dyDescent="0.3">
      <c r="A350" s="17" t="str">
        <f t="shared" si="6"/>
        <v>3. Souper/Poulet à l'italienne</v>
      </c>
      <c r="B350" s="28" t="s">
        <v>49</v>
      </c>
      <c r="C350" s="19" t="s">
        <v>297</v>
      </c>
      <c r="D350" s="19" t="s">
        <v>298</v>
      </c>
      <c r="E350" s="19" t="s">
        <v>26</v>
      </c>
      <c r="F350" s="31">
        <v>0.1</v>
      </c>
      <c r="G350" s="19" t="s">
        <v>18</v>
      </c>
    </row>
    <row r="351" spans="1:7" x14ac:dyDescent="0.3">
      <c r="A351" s="17" t="str">
        <f t="shared" si="6"/>
        <v>3. Souper/Poulet à l'italienne</v>
      </c>
      <c r="B351" s="28" t="s">
        <v>49</v>
      </c>
      <c r="C351" s="19" t="s">
        <v>297</v>
      </c>
      <c r="D351" s="19" t="s">
        <v>299</v>
      </c>
      <c r="E351" s="19" t="s">
        <v>26</v>
      </c>
      <c r="F351" s="31">
        <v>0.33</v>
      </c>
      <c r="G351" s="19" t="s">
        <v>18</v>
      </c>
    </row>
    <row r="352" spans="1:7" x14ac:dyDescent="0.3">
      <c r="A352" s="17" t="str">
        <f t="shared" si="6"/>
        <v>3. Souper/Poulet à l'italienne</v>
      </c>
      <c r="B352" s="28" t="s">
        <v>49</v>
      </c>
      <c r="C352" s="19" t="s">
        <v>297</v>
      </c>
      <c r="D352" s="19" t="s">
        <v>300</v>
      </c>
      <c r="E352" s="19" t="s">
        <v>19</v>
      </c>
      <c r="F352" s="31">
        <v>60</v>
      </c>
      <c r="G352" s="19" t="s">
        <v>22</v>
      </c>
    </row>
    <row r="353" spans="1:7" x14ac:dyDescent="0.3">
      <c r="A353" s="17" t="str">
        <f t="shared" si="6"/>
        <v>3. Souper/Poulet à l'italienne</v>
      </c>
      <c r="B353" s="28" t="s">
        <v>49</v>
      </c>
      <c r="C353" s="19" t="s">
        <v>297</v>
      </c>
      <c r="D353" s="19" t="s">
        <v>301</v>
      </c>
      <c r="E353" s="19" t="s">
        <v>24</v>
      </c>
      <c r="F353" s="31">
        <v>41</v>
      </c>
      <c r="G353" s="19" t="s">
        <v>15</v>
      </c>
    </row>
    <row r="354" spans="1:7" x14ac:dyDescent="0.3">
      <c r="A354" s="17" t="str">
        <f t="shared" si="6"/>
        <v>3. Souper/Poisson</v>
      </c>
      <c r="B354" s="28" t="s">
        <v>49</v>
      </c>
      <c r="C354" s="19" t="s">
        <v>445</v>
      </c>
      <c r="D354" s="19" t="s">
        <v>446</v>
      </c>
      <c r="E354" s="19" t="s">
        <v>21</v>
      </c>
      <c r="F354" s="31">
        <v>200</v>
      </c>
      <c r="G354" s="19" t="s">
        <v>80</v>
      </c>
    </row>
    <row r="355" spans="1:7" x14ac:dyDescent="0.3">
      <c r="A355" s="17" t="str">
        <f t="shared" si="6"/>
        <v>3. Souper/Poisson</v>
      </c>
      <c r="B355" s="28" t="s">
        <v>49</v>
      </c>
      <c r="C355" s="19" t="s">
        <v>445</v>
      </c>
      <c r="D355" s="19" t="s">
        <v>447</v>
      </c>
      <c r="E355" s="19" t="s">
        <v>26</v>
      </c>
      <c r="F355" s="31">
        <v>222.22222222222223</v>
      </c>
      <c r="G355" s="19" t="s">
        <v>80</v>
      </c>
    </row>
    <row r="356" spans="1:7" x14ac:dyDescent="0.3">
      <c r="A356" s="17" t="str">
        <f t="shared" si="6"/>
        <v>3. Souper/Poisson</v>
      </c>
      <c r="B356" s="28" t="s">
        <v>49</v>
      </c>
      <c r="C356" s="19" t="s">
        <v>445</v>
      </c>
      <c r="D356" s="19" t="s">
        <v>53</v>
      </c>
      <c r="E356" s="19" t="s">
        <v>26</v>
      </c>
      <c r="F356" s="31">
        <v>0.25</v>
      </c>
      <c r="G356" s="19" t="s">
        <v>18</v>
      </c>
    </row>
    <row r="357" spans="1:7" x14ac:dyDescent="0.3">
      <c r="A357" s="17" t="str">
        <f t="shared" si="6"/>
        <v>3. Souper/Pizza</v>
      </c>
      <c r="B357" s="28" t="s">
        <v>49</v>
      </c>
      <c r="C357" s="19" t="s">
        <v>105</v>
      </c>
      <c r="D357" s="19" t="s">
        <v>106</v>
      </c>
      <c r="E357" s="19" t="s">
        <v>19</v>
      </c>
      <c r="F357" s="31">
        <v>0.33333333333333331</v>
      </c>
      <c r="G357" s="19" t="s">
        <v>18</v>
      </c>
    </row>
    <row r="358" spans="1:7" x14ac:dyDescent="0.3">
      <c r="A358" s="17" t="str">
        <f t="shared" si="6"/>
        <v>3. Souper/Pizza</v>
      </c>
      <c r="B358" s="28" t="s">
        <v>49</v>
      </c>
      <c r="C358" s="19" t="s">
        <v>105</v>
      </c>
      <c r="D358" s="19" t="s">
        <v>107</v>
      </c>
      <c r="E358" s="19" t="s">
        <v>24</v>
      </c>
      <c r="F358" s="31">
        <v>52</v>
      </c>
      <c r="G358" s="19" t="s">
        <v>15</v>
      </c>
    </row>
    <row r="359" spans="1:7" x14ac:dyDescent="0.3">
      <c r="A359" s="17" t="str">
        <f t="shared" si="6"/>
        <v>3. Souper/Pizza</v>
      </c>
      <c r="B359" s="28" t="s">
        <v>49</v>
      </c>
      <c r="C359" s="19" t="s">
        <v>105</v>
      </c>
      <c r="D359" s="19" t="s">
        <v>108</v>
      </c>
      <c r="E359" s="19" t="s">
        <v>26</v>
      </c>
      <c r="F359" s="31">
        <v>0.13333333333333333</v>
      </c>
      <c r="G359" s="19" t="s">
        <v>109</v>
      </c>
    </row>
    <row r="360" spans="1:7" x14ac:dyDescent="0.3">
      <c r="A360" s="17" t="str">
        <f t="shared" si="6"/>
        <v>3. Souper/Pizza</v>
      </c>
      <c r="B360" s="28" t="s">
        <v>49</v>
      </c>
      <c r="C360" s="19" t="s">
        <v>105</v>
      </c>
      <c r="D360" s="19" t="s">
        <v>110</v>
      </c>
      <c r="E360" s="19" t="s">
        <v>26</v>
      </c>
      <c r="F360" s="31">
        <v>0.33333333333333331</v>
      </c>
      <c r="G360" s="19" t="s">
        <v>18</v>
      </c>
    </row>
    <row r="361" spans="1:7" x14ac:dyDescent="0.3">
      <c r="A361" s="17" t="str">
        <f t="shared" si="6"/>
        <v>3. Souper/Pizza</v>
      </c>
      <c r="B361" s="28" t="s">
        <v>49</v>
      </c>
      <c r="C361" s="19" t="s">
        <v>105</v>
      </c>
      <c r="D361" s="19" t="s">
        <v>111</v>
      </c>
      <c r="E361" s="19" t="s">
        <v>26</v>
      </c>
      <c r="F361" s="31">
        <v>20</v>
      </c>
      <c r="G361" s="19" t="s">
        <v>22</v>
      </c>
    </row>
    <row r="362" spans="1:7" x14ac:dyDescent="0.3">
      <c r="A362" s="17" t="str">
        <f t="shared" si="6"/>
        <v>3. Souper/Pizza</v>
      </c>
      <c r="B362" s="28" t="s">
        <v>49</v>
      </c>
      <c r="C362" s="19" t="s">
        <v>105</v>
      </c>
      <c r="D362" s="19" t="s">
        <v>112</v>
      </c>
      <c r="E362" s="19" t="s">
        <v>21</v>
      </c>
      <c r="F362" s="31">
        <v>65</v>
      </c>
      <c r="G362" s="19" t="s">
        <v>22</v>
      </c>
    </row>
    <row r="363" spans="1:7" x14ac:dyDescent="0.3">
      <c r="A363" s="17" t="str">
        <f t="shared" si="6"/>
        <v>3. Souper/Pizza</v>
      </c>
      <c r="B363" s="28" t="s">
        <v>49</v>
      </c>
      <c r="C363" s="19" t="s">
        <v>105</v>
      </c>
      <c r="D363" s="19" t="s">
        <v>113</v>
      </c>
      <c r="E363" s="19" t="s">
        <v>14</v>
      </c>
      <c r="F363" s="31">
        <v>70</v>
      </c>
      <c r="G363" s="19" t="s">
        <v>22</v>
      </c>
    </row>
    <row r="364" spans="1:7" x14ac:dyDescent="0.3">
      <c r="A364" s="17" t="str">
        <f t="shared" si="6"/>
        <v>3. Souper/Pizza</v>
      </c>
      <c r="B364" s="28" t="s">
        <v>49</v>
      </c>
      <c r="C364" s="19" t="s">
        <v>105</v>
      </c>
      <c r="D364" s="19" t="s">
        <v>232</v>
      </c>
      <c r="E364" s="19" t="s">
        <v>21</v>
      </c>
      <c r="F364" s="31">
        <v>30</v>
      </c>
      <c r="G364" s="19" t="s">
        <v>22</v>
      </c>
    </row>
    <row r="365" spans="1:7" x14ac:dyDescent="0.3">
      <c r="A365" s="17" t="str">
        <f t="shared" si="6"/>
        <v>3. Souper/Pizza</v>
      </c>
      <c r="B365" s="28" t="s">
        <v>49</v>
      </c>
      <c r="C365" s="19" t="s">
        <v>105</v>
      </c>
      <c r="D365" s="19" t="s">
        <v>233</v>
      </c>
      <c r="E365" s="29" t="s">
        <v>506</v>
      </c>
      <c r="F365" s="31">
        <v>5.5555555555555552E-2</v>
      </c>
      <c r="G365" s="19" t="s">
        <v>234</v>
      </c>
    </row>
    <row r="366" spans="1:7" x14ac:dyDescent="0.3">
      <c r="A366" s="17" t="str">
        <f t="shared" si="6"/>
        <v>3. Souper/Pizza</v>
      </c>
      <c r="B366" s="28" t="s">
        <v>49</v>
      </c>
      <c r="C366" s="19" t="s">
        <v>105</v>
      </c>
      <c r="D366" s="19" t="s">
        <v>183</v>
      </c>
      <c r="E366" s="19" t="s">
        <v>26</v>
      </c>
      <c r="F366" s="31">
        <v>5.5555555555555552E-2</v>
      </c>
      <c r="G366" s="19" t="s">
        <v>18</v>
      </c>
    </row>
    <row r="367" spans="1:7" x14ac:dyDescent="0.3">
      <c r="A367" s="17" t="str">
        <f t="shared" si="6"/>
        <v>3. Souper/Pâtes boulettes</v>
      </c>
      <c r="B367" s="28" t="s">
        <v>49</v>
      </c>
      <c r="C367" s="19" t="s">
        <v>114</v>
      </c>
      <c r="D367" s="19" t="s">
        <v>115</v>
      </c>
      <c r="E367" s="19" t="s">
        <v>21</v>
      </c>
      <c r="F367" s="31">
        <v>90</v>
      </c>
      <c r="G367" s="19" t="s">
        <v>22</v>
      </c>
    </row>
    <row r="368" spans="1:7" x14ac:dyDescent="0.3">
      <c r="A368" s="17" t="str">
        <f t="shared" si="6"/>
        <v>3. Souper/Pâtes boulettes</v>
      </c>
      <c r="B368" s="28" t="s">
        <v>49</v>
      </c>
      <c r="C368" s="19" t="s">
        <v>114</v>
      </c>
      <c r="D368" s="19" t="s">
        <v>44</v>
      </c>
      <c r="E368" s="19" t="s">
        <v>19</v>
      </c>
      <c r="F368" s="31">
        <v>70</v>
      </c>
      <c r="G368" s="19" t="s">
        <v>22</v>
      </c>
    </row>
    <row r="369" spans="1:7" x14ac:dyDescent="0.3">
      <c r="A369" s="17" t="str">
        <f t="shared" ref="A369:A432" si="7">CONCATENATE(B369,"/",C369)</f>
        <v>3. Souper/Pâtes boulettes</v>
      </c>
      <c r="B369" s="28" t="s">
        <v>49</v>
      </c>
      <c r="C369" s="19" t="s">
        <v>114</v>
      </c>
      <c r="D369" s="19" t="s">
        <v>46</v>
      </c>
      <c r="E369" s="19" t="s">
        <v>24</v>
      </c>
      <c r="F369" s="31">
        <v>60</v>
      </c>
      <c r="G369" s="19" t="s">
        <v>15</v>
      </c>
    </row>
    <row r="370" spans="1:7" x14ac:dyDescent="0.3">
      <c r="A370" s="17" t="str">
        <f t="shared" si="7"/>
        <v>3. Souper/Pâtes boulettes</v>
      </c>
      <c r="B370" s="28" t="s">
        <v>49</v>
      </c>
      <c r="C370" s="19" t="s">
        <v>114</v>
      </c>
      <c r="D370" s="19" t="s">
        <v>319</v>
      </c>
      <c r="E370" s="19" t="s">
        <v>19</v>
      </c>
      <c r="F370" s="31">
        <v>19</v>
      </c>
      <c r="G370" s="19" t="s">
        <v>22</v>
      </c>
    </row>
    <row r="371" spans="1:7" x14ac:dyDescent="0.3">
      <c r="A371" s="17" t="str">
        <f t="shared" si="7"/>
        <v>3. Souper/Pâtes boulettes</v>
      </c>
      <c r="B371" s="28" t="s">
        <v>49</v>
      </c>
      <c r="C371" s="19" t="s">
        <v>114</v>
      </c>
      <c r="D371" s="19" t="s">
        <v>298</v>
      </c>
      <c r="E371" s="19" t="s">
        <v>26</v>
      </c>
      <c r="F371" s="31">
        <v>0.06</v>
      </c>
      <c r="G371" s="19" t="s">
        <v>18</v>
      </c>
    </row>
    <row r="372" spans="1:7" x14ac:dyDescent="0.3">
      <c r="A372" s="17" t="str">
        <f t="shared" si="7"/>
        <v>3. Souper/Pâtes boulettes</v>
      </c>
      <c r="B372" s="28" t="s">
        <v>49</v>
      </c>
      <c r="C372" s="19" t="s">
        <v>114</v>
      </c>
      <c r="D372" s="19" t="s">
        <v>31</v>
      </c>
      <c r="E372" s="19" t="s">
        <v>26</v>
      </c>
      <c r="F372" s="31">
        <v>0.04</v>
      </c>
      <c r="G372" s="19" t="s">
        <v>320</v>
      </c>
    </row>
    <row r="373" spans="1:7" x14ac:dyDescent="0.3">
      <c r="A373" s="17" t="str">
        <f t="shared" si="7"/>
        <v>3. Souper/Pâtes boulettes</v>
      </c>
      <c r="B373" s="28" t="s">
        <v>49</v>
      </c>
      <c r="C373" s="19" t="s">
        <v>114</v>
      </c>
      <c r="D373" s="19" t="s">
        <v>321</v>
      </c>
      <c r="E373" s="19" t="s">
        <v>24</v>
      </c>
      <c r="F373" s="31">
        <v>60</v>
      </c>
      <c r="G373" s="19" t="s">
        <v>15</v>
      </c>
    </row>
    <row r="374" spans="1:7" x14ac:dyDescent="0.3">
      <c r="A374" s="17" t="str">
        <f t="shared" si="7"/>
        <v>3. Souper/Pâtes boulettes</v>
      </c>
      <c r="B374" s="28" t="s">
        <v>49</v>
      </c>
      <c r="C374" s="19" t="s">
        <v>114</v>
      </c>
      <c r="D374" s="19" t="s">
        <v>322</v>
      </c>
      <c r="E374" s="19" t="s">
        <v>24</v>
      </c>
      <c r="F374" s="31">
        <v>0.1</v>
      </c>
      <c r="G374" s="19" t="s">
        <v>22</v>
      </c>
    </row>
    <row r="375" spans="1:7" x14ac:dyDescent="0.3">
      <c r="A375" s="17" t="str">
        <f t="shared" si="7"/>
        <v>3. Souper/Patates grecques</v>
      </c>
      <c r="B375" s="28" t="s">
        <v>49</v>
      </c>
      <c r="C375" s="19" t="s">
        <v>369</v>
      </c>
      <c r="D375" s="19" t="s">
        <v>370</v>
      </c>
      <c r="E375" s="19" t="s">
        <v>26</v>
      </c>
      <c r="F375" s="31">
        <v>200</v>
      </c>
      <c r="G375" s="19" t="s">
        <v>80</v>
      </c>
    </row>
    <row r="376" spans="1:7" x14ac:dyDescent="0.3">
      <c r="A376" s="17" t="str">
        <f t="shared" si="7"/>
        <v>3. Souper/Patates grecques</v>
      </c>
      <c r="B376" s="28" t="s">
        <v>49</v>
      </c>
      <c r="C376" s="19" t="s">
        <v>369</v>
      </c>
      <c r="D376" s="19" t="s">
        <v>371</v>
      </c>
      <c r="E376" s="19" t="s">
        <v>24</v>
      </c>
      <c r="F376" s="31">
        <v>3</v>
      </c>
      <c r="G376" s="19" t="s">
        <v>15</v>
      </c>
    </row>
    <row r="377" spans="1:7" x14ac:dyDescent="0.3">
      <c r="A377" s="17" t="str">
        <f t="shared" si="7"/>
        <v>3. Souper/Patates grecques</v>
      </c>
      <c r="B377" s="28" t="s">
        <v>49</v>
      </c>
      <c r="C377" s="19" t="s">
        <v>369</v>
      </c>
      <c r="D377" s="19" t="s">
        <v>175</v>
      </c>
      <c r="E377" s="19" t="s">
        <v>24</v>
      </c>
      <c r="F377" s="31">
        <v>2</v>
      </c>
      <c r="G377" s="19" t="s">
        <v>15</v>
      </c>
    </row>
    <row r="378" spans="1:7" x14ac:dyDescent="0.3">
      <c r="A378" s="17" t="str">
        <f t="shared" si="7"/>
        <v>3. Souper/Patates grecques</v>
      </c>
      <c r="B378" s="28" t="s">
        <v>49</v>
      </c>
      <c r="C378" s="19" t="s">
        <v>369</v>
      </c>
      <c r="D378" s="19" t="s">
        <v>34</v>
      </c>
      <c r="E378" s="19" t="s">
        <v>24</v>
      </c>
      <c r="F378" s="31">
        <v>2</v>
      </c>
      <c r="G378" s="19" t="s">
        <v>15</v>
      </c>
    </row>
    <row r="379" spans="1:7" x14ac:dyDescent="0.3">
      <c r="A379" s="17" t="str">
        <f t="shared" si="7"/>
        <v>3. Souper/Macaronis avec boulettes</v>
      </c>
      <c r="B379" s="28" t="s">
        <v>49</v>
      </c>
      <c r="C379" s="19" t="s">
        <v>458</v>
      </c>
      <c r="D379" s="19" t="s">
        <v>293</v>
      </c>
      <c r="E379" s="19" t="s">
        <v>19</v>
      </c>
      <c r="F379" s="31">
        <v>60</v>
      </c>
      <c r="G379" s="19" t="s">
        <v>15</v>
      </c>
    </row>
    <row r="380" spans="1:7" x14ac:dyDescent="0.3">
      <c r="A380" s="17" t="str">
        <f t="shared" si="7"/>
        <v>3. Souper/Macaronis avec boulettes</v>
      </c>
      <c r="B380" s="28" t="s">
        <v>49</v>
      </c>
      <c r="C380" s="19" t="s">
        <v>458</v>
      </c>
      <c r="D380" s="19" t="s">
        <v>46</v>
      </c>
      <c r="E380" s="19" t="s">
        <v>24</v>
      </c>
      <c r="F380" s="31">
        <v>60</v>
      </c>
      <c r="G380" s="19" t="s">
        <v>15</v>
      </c>
    </row>
    <row r="381" spans="1:7" x14ac:dyDescent="0.3">
      <c r="A381" s="17" t="str">
        <f t="shared" si="7"/>
        <v>3. Souper/Macaronis avec boulettes</v>
      </c>
      <c r="B381" s="28" t="s">
        <v>49</v>
      </c>
      <c r="C381" s="19" t="s">
        <v>458</v>
      </c>
      <c r="D381" s="19" t="s">
        <v>459</v>
      </c>
      <c r="E381" s="19" t="s">
        <v>21</v>
      </c>
      <c r="F381" s="31">
        <v>4</v>
      </c>
      <c r="G381" s="19" t="s">
        <v>18</v>
      </c>
    </row>
    <row r="382" spans="1:7" x14ac:dyDescent="0.3">
      <c r="A382" s="17" t="str">
        <f t="shared" si="7"/>
        <v>3. Souper/Macaronis avec boulettes</v>
      </c>
      <c r="B382" s="28" t="s">
        <v>49</v>
      </c>
      <c r="C382" s="19" t="s">
        <v>458</v>
      </c>
      <c r="D382" s="19" t="s">
        <v>460</v>
      </c>
      <c r="E382" s="19" t="s">
        <v>24</v>
      </c>
      <c r="F382" s="31" t="s">
        <v>461</v>
      </c>
      <c r="G382" s="19" t="s">
        <v>18</v>
      </c>
    </row>
    <row r="383" spans="1:7" x14ac:dyDescent="0.3">
      <c r="A383" s="17" t="str">
        <f t="shared" si="7"/>
        <v>3. Souper/Macaronis avec boulettes</v>
      </c>
      <c r="B383" s="28" t="s">
        <v>49</v>
      </c>
      <c r="C383" s="19" t="s">
        <v>458</v>
      </c>
      <c r="D383" s="19" t="s">
        <v>436</v>
      </c>
      <c r="E383" s="19" t="s">
        <v>24</v>
      </c>
      <c r="F383" s="31" t="s">
        <v>453</v>
      </c>
      <c r="G383" s="19" t="s">
        <v>18</v>
      </c>
    </row>
    <row r="384" spans="1:7" x14ac:dyDescent="0.3">
      <c r="A384" s="17" t="str">
        <f t="shared" si="7"/>
        <v>3. Souper/Macaronis avec boulettes</v>
      </c>
      <c r="B384" s="28" t="s">
        <v>49</v>
      </c>
      <c r="C384" s="19" t="s">
        <v>458</v>
      </c>
      <c r="D384" s="19" t="s">
        <v>462</v>
      </c>
      <c r="E384" s="19" t="s">
        <v>14</v>
      </c>
      <c r="F384" s="31">
        <v>12</v>
      </c>
      <c r="G384" s="19" t="s">
        <v>80</v>
      </c>
    </row>
    <row r="385" spans="1:7" x14ac:dyDescent="0.3">
      <c r="A385" s="17" t="str">
        <f t="shared" si="7"/>
        <v>3. Souper/Macaronis avec boulettes</v>
      </c>
      <c r="B385" s="28" t="s">
        <v>49</v>
      </c>
      <c r="C385" s="19" t="s">
        <v>458</v>
      </c>
      <c r="D385" s="19" t="s">
        <v>76</v>
      </c>
      <c r="E385" s="19" t="s">
        <v>24</v>
      </c>
      <c r="F385" s="31">
        <v>10</v>
      </c>
      <c r="G385" s="19" t="s">
        <v>15</v>
      </c>
    </row>
    <row r="386" spans="1:7" x14ac:dyDescent="0.3">
      <c r="A386" s="17" t="str">
        <f t="shared" si="7"/>
        <v>3. Souper/Macaronis avec boulettes</v>
      </c>
      <c r="B386" s="28" t="s">
        <v>49</v>
      </c>
      <c r="C386" s="19" t="s">
        <v>458</v>
      </c>
      <c r="D386" s="19" t="s">
        <v>75</v>
      </c>
      <c r="E386" s="19" t="s">
        <v>26</v>
      </c>
      <c r="F386" s="31" t="s">
        <v>453</v>
      </c>
      <c r="G386" s="19" t="s">
        <v>18</v>
      </c>
    </row>
    <row r="387" spans="1:7" x14ac:dyDescent="0.3">
      <c r="A387" s="17" t="str">
        <f t="shared" si="7"/>
        <v>3. Souper/Macaronis avec boulettes</v>
      </c>
      <c r="B387" s="28" t="s">
        <v>49</v>
      </c>
      <c r="C387" s="19" t="s">
        <v>458</v>
      </c>
      <c r="D387" s="19" t="s">
        <v>31</v>
      </c>
      <c r="E387" s="19" t="s">
        <v>24</v>
      </c>
      <c r="F387" s="31" t="s">
        <v>431</v>
      </c>
      <c r="G387" s="19" t="s">
        <v>18</v>
      </c>
    </row>
    <row r="388" spans="1:7" x14ac:dyDescent="0.3">
      <c r="A388" s="17" t="str">
        <f t="shared" si="7"/>
        <v>3. Souper/Macaronis avec boulettes</v>
      </c>
      <c r="B388" s="28" t="s">
        <v>49</v>
      </c>
      <c r="C388" s="19" t="s">
        <v>458</v>
      </c>
      <c r="D388" s="19" t="s">
        <v>463</v>
      </c>
      <c r="E388" s="19" t="s">
        <v>24</v>
      </c>
      <c r="F388" s="31">
        <v>10</v>
      </c>
      <c r="G388" s="19" t="s">
        <v>15</v>
      </c>
    </row>
    <row r="389" spans="1:7" x14ac:dyDescent="0.3">
      <c r="A389" s="17" t="str">
        <f t="shared" si="7"/>
        <v>3. Souper/Kobebah</v>
      </c>
      <c r="B389" s="28" t="s">
        <v>49</v>
      </c>
      <c r="C389" s="19" t="s">
        <v>151</v>
      </c>
      <c r="D389" s="19" t="s">
        <v>151</v>
      </c>
      <c r="E389" s="29" t="s">
        <v>21</v>
      </c>
      <c r="F389" s="31">
        <v>150</v>
      </c>
      <c r="G389" s="19" t="s">
        <v>80</v>
      </c>
    </row>
    <row r="390" spans="1:7" x14ac:dyDescent="0.3">
      <c r="A390" s="17" t="str">
        <f t="shared" si="7"/>
        <v>3. Souper/Jus</v>
      </c>
      <c r="B390" s="28" t="s">
        <v>49</v>
      </c>
      <c r="C390" s="19" t="s">
        <v>152</v>
      </c>
      <c r="D390" s="19" t="s">
        <v>307</v>
      </c>
      <c r="E390" s="19" t="s">
        <v>24</v>
      </c>
      <c r="F390" s="31">
        <v>150</v>
      </c>
      <c r="G390" s="19" t="s">
        <v>15</v>
      </c>
    </row>
    <row r="391" spans="1:7" x14ac:dyDescent="0.3">
      <c r="A391" s="17" t="str">
        <f t="shared" si="7"/>
        <v>3. Souper/Hamburger</v>
      </c>
      <c r="B391" s="28" t="s">
        <v>49</v>
      </c>
      <c r="C391" s="19" t="s">
        <v>429</v>
      </c>
      <c r="D391" s="19" t="s">
        <v>45</v>
      </c>
      <c r="E391" s="19" t="s">
        <v>21</v>
      </c>
      <c r="F391" s="31">
        <v>113.5</v>
      </c>
      <c r="G391" s="19" t="s">
        <v>80</v>
      </c>
    </row>
    <row r="392" spans="1:7" x14ac:dyDescent="0.3">
      <c r="A392" s="17" t="str">
        <f t="shared" si="7"/>
        <v>3. Souper/Hamburger</v>
      </c>
      <c r="B392" s="28" t="s">
        <v>49</v>
      </c>
      <c r="C392" s="19" t="s">
        <v>429</v>
      </c>
      <c r="D392" s="19" t="s">
        <v>102</v>
      </c>
      <c r="E392" s="19" t="s">
        <v>24</v>
      </c>
      <c r="F392" s="31">
        <v>20</v>
      </c>
      <c r="G392" s="19" t="s">
        <v>15</v>
      </c>
    </row>
    <row r="393" spans="1:7" x14ac:dyDescent="0.3">
      <c r="A393" s="17" t="str">
        <f t="shared" si="7"/>
        <v>3. Souper/Hamburger</v>
      </c>
      <c r="B393" s="28" t="s">
        <v>49</v>
      </c>
      <c r="C393" s="19" t="s">
        <v>429</v>
      </c>
      <c r="D393" s="19" t="s">
        <v>407</v>
      </c>
      <c r="E393" s="19" t="s">
        <v>26</v>
      </c>
      <c r="F393" s="31">
        <v>0.1</v>
      </c>
      <c r="G393" s="19" t="s">
        <v>18</v>
      </c>
    </row>
    <row r="394" spans="1:7" x14ac:dyDescent="0.3">
      <c r="A394" s="17" t="str">
        <f t="shared" si="7"/>
        <v>3. Souper/Hamburger</v>
      </c>
      <c r="B394" s="28" t="s">
        <v>49</v>
      </c>
      <c r="C394" s="19" t="s">
        <v>429</v>
      </c>
      <c r="D394" s="19" t="s">
        <v>28</v>
      </c>
      <c r="E394" s="19" t="s">
        <v>26</v>
      </c>
      <c r="F394" s="31">
        <v>0.30000000000000004</v>
      </c>
      <c r="G394" s="19" t="s">
        <v>18</v>
      </c>
    </row>
    <row r="395" spans="1:7" x14ac:dyDescent="0.3">
      <c r="A395" s="17" t="str">
        <f t="shared" si="7"/>
        <v>3. Souper/Hamburger</v>
      </c>
      <c r="B395" s="28" t="s">
        <v>49</v>
      </c>
      <c r="C395" s="19" t="s">
        <v>429</v>
      </c>
      <c r="D395" s="19" t="s">
        <v>406</v>
      </c>
      <c r="E395" s="19" t="s">
        <v>14</v>
      </c>
      <c r="F395" s="31">
        <v>1.5</v>
      </c>
      <c r="G395" s="19" t="s">
        <v>18</v>
      </c>
    </row>
    <row r="396" spans="1:7" x14ac:dyDescent="0.3">
      <c r="A396" s="17" t="str">
        <f t="shared" si="7"/>
        <v>3. Souper/Hamburger</v>
      </c>
      <c r="B396" s="28" t="s">
        <v>49</v>
      </c>
      <c r="C396" s="19" t="s">
        <v>429</v>
      </c>
      <c r="D396" s="19" t="s">
        <v>430</v>
      </c>
      <c r="E396" s="19" t="s">
        <v>19</v>
      </c>
      <c r="F396" s="31">
        <v>1.5</v>
      </c>
      <c r="G396" s="19" t="s">
        <v>18</v>
      </c>
    </row>
    <row r="397" spans="1:7" x14ac:dyDescent="0.3">
      <c r="A397" s="17" t="str">
        <f t="shared" si="7"/>
        <v>3. Souper/Hamburger</v>
      </c>
      <c r="B397" s="28" t="s">
        <v>49</v>
      </c>
      <c r="C397" s="19" t="s">
        <v>429</v>
      </c>
      <c r="D397" s="19" t="s">
        <v>103</v>
      </c>
      <c r="E397" s="19" t="s">
        <v>24</v>
      </c>
      <c r="F397" s="31">
        <v>10</v>
      </c>
      <c r="G397" s="19" t="s">
        <v>15</v>
      </c>
    </row>
    <row r="398" spans="1:7" x14ac:dyDescent="0.3">
      <c r="A398" s="17" t="str">
        <f t="shared" si="7"/>
        <v>3. Souper/Hamburger</v>
      </c>
      <c r="B398" s="28" t="s">
        <v>49</v>
      </c>
      <c r="C398" s="19" t="s">
        <v>429</v>
      </c>
      <c r="D398" s="19" t="s">
        <v>53</v>
      </c>
      <c r="E398" s="19" t="s">
        <v>26</v>
      </c>
      <c r="F398" s="31">
        <v>0.1875</v>
      </c>
      <c r="G398" s="19" t="s">
        <v>18</v>
      </c>
    </row>
    <row r="399" spans="1:7" x14ac:dyDescent="0.3">
      <c r="A399" s="17" t="str">
        <f t="shared" si="7"/>
        <v>3. Souper/Hamburger</v>
      </c>
      <c r="B399" s="28" t="s">
        <v>49</v>
      </c>
      <c r="C399" s="19" t="s">
        <v>429</v>
      </c>
      <c r="D399" s="19" t="s">
        <v>334</v>
      </c>
      <c r="E399" s="19" t="s">
        <v>24</v>
      </c>
      <c r="F399" s="31">
        <v>15</v>
      </c>
      <c r="G399" s="19" t="s">
        <v>15</v>
      </c>
    </row>
    <row r="400" spans="1:7" x14ac:dyDescent="0.3">
      <c r="A400" s="17" t="str">
        <f t="shared" si="7"/>
        <v>3. Souper/Hachis Parmentier</v>
      </c>
      <c r="B400" s="28" t="s">
        <v>49</v>
      </c>
      <c r="C400" s="19" t="s">
        <v>433</v>
      </c>
      <c r="D400" s="19" t="s">
        <v>434</v>
      </c>
      <c r="E400" s="19" t="s">
        <v>26</v>
      </c>
      <c r="F400" s="31">
        <v>0.15</v>
      </c>
      <c r="G400" s="19" t="s">
        <v>18</v>
      </c>
    </row>
    <row r="401" spans="1:7" x14ac:dyDescent="0.3">
      <c r="A401" s="17" t="str">
        <f t="shared" si="7"/>
        <v>3. Souper/Hachis Parmentier</v>
      </c>
      <c r="B401" s="28" t="s">
        <v>49</v>
      </c>
      <c r="C401" s="19" t="s">
        <v>433</v>
      </c>
      <c r="D401" s="19" t="s">
        <v>435</v>
      </c>
      <c r="E401" s="19" t="s">
        <v>26</v>
      </c>
      <c r="F401" s="31">
        <v>0.25</v>
      </c>
      <c r="G401" s="19" t="s">
        <v>18</v>
      </c>
    </row>
    <row r="402" spans="1:7" x14ac:dyDescent="0.3">
      <c r="A402" s="17" t="str">
        <f t="shared" si="7"/>
        <v>3. Souper/Hachis Parmentier</v>
      </c>
      <c r="B402" s="28" t="s">
        <v>49</v>
      </c>
      <c r="C402" s="19" t="s">
        <v>433</v>
      </c>
      <c r="D402" s="19" t="s">
        <v>436</v>
      </c>
      <c r="E402" s="19" t="s">
        <v>26</v>
      </c>
      <c r="F402" s="31">
        <v>2.5000000000000001E-2</v>
      </c>
      <c r="G402" s="19" t="s">
        <v>437</v>
      </c>
    </row>
    <row r="403" spans="1:7" x14ac:dyDescent="0.3">
      <c r="A403" s="17" t="str">
        <f t="shared" si="7"/>
        <v>3. Souper/Hachis Parmentier</v>
      </c>
      <c r="B403" s="28" t="s">
        <v>49</v>
      </c>
      <c r="C403" s="19" t="s">
        <v>433</v>
      </c>
      <c r="D403" s="19" t="s">
        <v>149</v>
      </c>
      <c r="E403" s="19" t="s">
        <v>14</v>
      </c>
      <c r="F403" s="31">
        <v>2.5000000000000001E-2</v>
      </c>
      <c r="G403" s="19" t="s">
        <v>438</v>
      </c>
    </row>
    <row r="404" spans="1:7" x14ac:dyDescent="0.3">
      <c r="A404" s="17" t="str">
        <f t="shared" si="7"/>
        <v>3. Souper/Hachis Parmentier</v>
      </c>
      <c r="B404" s="28" t="s">
        <v>49</v>
      </c>
      <c r="C404" s="19" t="s">
        <v>433</v>
      </c>
      <c r="D404" s="19" t="s">
        <v>45</v>
      </c>
      <c r="E404" s="19" t="s">
        <v>21</v>
      </c>
      <c r="F404" s="31">
        <v>150</v>
      </c>
      <c r="G404" s="19" t="s">
        <v>80</v>
      </c>
    </row>
    <row r="405" spans="1:7" x14ac:dyDescent="0.3">
      <c r="A405" s="17" t="str">
        <f t="shared" si="7"/>
        <v>3. Souper/Hachis Parmentier</v>
      </c>
      <c r="B405" s="28" t="s">
        <v>49</v>
      </c>
      <c r="C405" s="19" t="s">
        <v>433</v>
      </c>
      <c r="D405" s="19" t="s">
        <v>145</v>
      </c>
      <c r="E405" s="19" t="s">
        <v>14</v>
      </c>
      <c r="F405" s="31">
        <v>25</v>
      </c>
      <c r="G405" s="19" t="s">
        <v>15</v>
      </c>
    </row>
    <row r="406" spans="1:7" x14ac:dyDescent="0.3">
      <c r="A406" s="17" t="str">
        <f t="shared" si="7"/>
        <v>3. Souper/Hachis Parmentier</v>
      </c>
      <c r="B406" s="28" t="s">
        <v>49</v>
      </c>
      <c r="C406" s="19" t="s">
        <v>433</v>
      </c>
      <c r="D406" s="19" t="s">
        <v>439</v>
      </c>
      <c r="E406" s="19" t="s">
        <v>24</v>
      </c>
      <c r="F406" s="31">
        <v>150</v>
      </c>
      <c r="G406" s="19" t="s">
        <v>15</v>
      </c>
    </row>
    <row r="407" spans="1:7" x14ac:dyDescent="0.3">
      <c r="A407" s="17" t="str">
        <f t="shared" si="7"/>
        <v>3. Souper/Hachis Parmentier</v>
      </c>
      <c r="B407" s="28" t="s">
        <v>49</v>
      </c>
      <c r="C407" s="19" t="s">
        <v>433</v>
      </c>
      <c r="D407" s="19" t="s">
        <v>440</v>
      </c>
      <c r="E407" s="19" t="s">
        <v>24</v>
      </c>
      <c r="F407" s="31">
        <v>0.05</v>
      </c>
      <c r="G407" s="19" t="s">
        <v>441</v>
      </c>
    </row>
    <row r="408" spans="1:7" x14ac:dyDescent="0.3">
      <c r="A408" s="17" t="str">
        <f t="shared" si="7"/>
        <v>3. Souper/Hachis Parmentier</v>
      </c>
      <c r="B408" s="28" t="s">
        <v>49</v>
      </c>
      <c r="C408" s="19" t="s">
        <v>433</v>
      </c>
      <c r="D408" s="19" t="s">
        <v>442</v>
      </c>
      <c r="E408" s="19" t="s">
        <v>14</v>
      </c>
      <c r="F408" s="31">
        <v>1</v>
      </c>
      <c r="G408" s="19" t="s">
        <v>27</v>
      </c>
    </row>
    <row r="409" spans="1:7" x14ac:dyDescent="0.3">
      <c r="A409" s="17" t="str">
        <f t="shared" si="7"/>
        <v>3. Souper/Fondue chocolat</v>
      </c>
      <c r="B409" s="28" t="s">
        <v>49</v>
      </c>
      <c r="C409" s="19" t="s">
        <v>177</v>
      </c>
      <c r="D409" s="19" t="s">
        <v>178</v>
      </c>
      <c r="E409" s="19" t="s">
        <v>24</v>
      </c>
      <c r="F409" s="31">
        <v>30</v>
      </c>
      <c r="G409" s="19" t="s">
        <v>22</v>
      </c>
    </row>
    <row r="410" spans="1:7" x14ac:dyDescent="0.3">
      <c r="A410" s="17" t="str">
        <f t="shared" si="7"/>
        <v>3. Souper/Fondue chocolat</v>
      </c>
      <c r="B410" s="28" t="s">
        <v>49</v>
      </c>
      <c r="C410" s="19" t="s">
        <v>177</v>
      </c>
      <c r="D410" s="19" t="s">
        <v>179</v>
      </c>
      <c r="E410" s="19" t="s">
        <v>24</v>
      </c>
      <c r="F410" s="31">
        <v>15</v>
      </c>
      <c r="G410" s="19" t="s">
        <v>22</v>
      </c>
    </row>
    <row r="411" spans="1:7" x14ac:dyDescent="0.3">
      <c r="A411" s="17" t="str">
        <f t="shared" si="7"/>
        <v>3. Souper/Fondue chocolat</v>
      </c>
      <c r="B411" s="28" t="s">
        <v>49</v>
      </c>
      <c r="C411" s="19" t="s">
        <v>177</v>
      </c>
      <c r="D411" s="19" t="s">
        <v>180</v>
      </c>
      <c r="E411" s="19" t="s">
        <v>24</v>
      </c>
      <c r="F411" s="31">
        <v>30</v>
      </c>
      <c r="G411" s="19" t="s">
        <v>22</v>
      </c>
    </row>
    <row r="412" spans="1:7" x14ac:dyDescent="0.3">
      <c r="A412" s="17" t="str">
        <f t="shared" si="7"/>
        <v>3. Souper/Fondue chocolat</v>
      </c>
      <c r="B412" s="28" t="s">
        <v>49</v>
      </c>
      <c r="C412" s="19" t="s">
        <v>177</v>
      </c>
      <c r="D412" s="19" t="s">
        <v>181</v>
      </c>
      <c r="E412" s="19" t="s">
        <v>24</v>
      </c>
      <c r="F412" s="31">
        <v>20</v>
      </c>
      <c r="G412" s="19" t="s">
        <v>22</v>
      </c>
    </row>
    <row r="413" spans="1:7" x14ac:dyDescent="0.3">
      <c r="A413" s="17" t="str">
        <f t="shared" si="7"/>
        <v>3. Souper/Fondue chocolat</v>
      </c>
      <c r="B413" s="28" t="s">
        <v>49</v>
      </c>
      <c r="C413" s="19" t="s">
        <v>177</v>
      </c>
      <c r="D413" s="19" t="s">
        <v>169</v>
      </c>
      <c r="E413" s="19" t="s">
        <v>26</v>
      </c>
      <c r="F413" s="31">
        <v>0.35</v>
      </c>
      <c r="G413" s="19" t="s">
        <v>18</v>
      </c>
    </row>
    <row r="414" spans="1:7" x14ac:dyDescent="0.3">
      <c r="A414" s="17" t="str">
        <f t="shared" si="7"/>
        <v>3. Souper/Fondue chocolat</v>
      </c>
      <c r="B414" s="28" t="s">
        <v>49</v>
      </c>
      <c r="C414" s="19" t="s">
        <v>177</v>
      </c>
      <c r="D414" s="19" t="s">
        <v>100</v>
      </c>
      <c r="E414" s="19" t="s">
        <v>26</v>
      </c>
      <c r="F414" s="31">
        <v>0.35</v>
      </c>
      <c r="G414" s="19" t="s">
        <v>18</v>
      </c>
    </row>
    <row r="415" spans="1:7" x14ac:dyDescent="0.3">
      <c r="A415" s="17" t="str">
        <f t="shared" si="7"/>
        <v>3. Souper/Fondue chocolat</v>
      </c>
      <c r="B415" s="28" t="s">
        <v>49</v>
      </c>
      <c r="C415" s="19" t="s">
        <v>177</v>
      </c>
      <c r="D415" s="19" t="s">
        <v>182</v>
      </c>
      <c r="E415" s="19" t="s">
        <v>26</v>
      </c>
      <c r="F415" s="31">
        <v>6.6666666666666666E-2</v>
      </c>
      <c r="G415" s="19" t="s">
        <v>18</v>
      </c>
    </row>
    <row r="416" spans="1:7" x14ac:dyDescent="0.3">
      <c r="A416" s="17" t="str">
        <f t="shared" si="7"/>
        <v>3. Souper/Fondue chocolat</v>
      </c>
      <c r="B416" s="28" t="s">
        <v>49</v>
      </c>
      <c r="C416" s="19" t="s">
        <v>177</v>
      </c>
      <c r="D416" s="19" t="s">
        <v>183</v>
      </c>
      <c r="E416" s="19" t="s">
        <v>26</v>
      </c>
      <c r="F416" s="31">
        <v>6.6666666666666666E-2</v>
      </c>
      <c r="G416" s="19" t="s">
        <v>18</v>
      </c>
    </row>
    <row r="417" spans="1:7" x14ac:dyDescent="0.3">
      <c r="A417" s="17" t="str">
        <f t="shared" si="7"/>
        <v>3. Souper/Fondue chocolat</v>
      </c>
      <c r="B417" s="28" t="s">
        <v>49</v>
      </c>
      <c r="C417" s="19" t="s">
        <v>177</v>
      </c>
      <c r="D417" s="19" t="s">
        <v>184</v>
      </c>
      <c r="E417" s="19" t="s">
        <v>26</v>
      </c>
      <c r="F417" s="31">
        <v>0.2</v>
      </c>
      <c r="G417" s="19" t="s">
        <v>18</v>
      </c>
    </row>
    <row r="418" spans="1:7" x14ac:dyDescent="0.3">
      <c r="A418" s="17" t="str">
        <f t="shared" si="7"/>
        <v>3. Souper/Feuille de vigne</v>
      </c>
      <c r="B418" s="28" t="s">
        <v>49</v>
      </c>
      <c r="C418" s="19" t="s">
        <v>185</v>
      </c>
      <c r="D418" s="19" t="s">
        <v>185</v>
      </c>
      <c r="E418" s="29" t="s">
        <v>21</v>
      </c>
      <c r="F418" s="31">
        <v>150</v>
      </c>
      <c r="G418" s="19" t="s">
        <v>80</v>
      </c>
    </row>
    <row r="419" spans="1:7" x14ac:dyDescent="0.3">
      <c r="A419" s="17" t="str">
        <f t="shared" si="7"/>
        <v>3. Souper/Fajitas</v>
      </c>
      <c r="B419" s="28" t="s">
        <v>49</v>
      </c>
      <c r="C419" s="19" t="s">
        <v>186</v>
      </c>
      <c r="D419" s="19" t="s">
        <v>69</v>
      </c>
      <c r="E419" s="19" t="s">
        <v>19</v>
      </c>
      <c r="F419" s="31">
        <v>2.5</v>
      </c>
      <c r="G419" s="19" t="s">
        <v>83</v>
      </c>
    </row>
    <row r="420" spans="1:7" x14ac:dyDescent="0.3">
      <c r="A420" s="17" t="str">
        <f t="shared" si="7"/>
        <v>3. Souper/Fajitas</v>
      </c>
      <c r="B420" s="28" t="s">
        <v>49</v>
      </c>
      <c r="C420" s="19" t="s">
        <v>186</v>
      </c>
      <c r="D420" s="19" t="s">
        <v>187</v>
      </c>
      <c r="E420" s="19" t="s">
        <v>21</v>
      </c>
      <c r="F420" s="31">
        <v>170</v>
      </c>
      <c r="G420" s="19" t="s">
        <v>80</v>
      </c>
    </row>
    <row r="421" spans="1:7" x14ac:dyDescent="0.3">
      <c r="A421" s="17" t="str">
        <f t="shared" si="7"/>
        <v>3. Souper/Fajitas</v>
      </c>
      <c r="B421" s="28" t="s">
        <v>49</v>
      </c>
      <c r="C421" s="19" t="s">
        <v>186</v>
      </c>
      <c r="D421" s="19" t="s">
        <v>188</v>
      </c>
      <c r="E421" s="19" t="s">
        <v>24</v>
      </c>
      <c r="F421" s="31">
        <v>62</v>
      </c>
      <c r="G421" s="19" t="s">
        <v>15</v>
      </c>
    </row>
    <row r="422" spans="1:7" x14ac:dyDescent="0.3">
      <c r="A422" s="17" t="str">
        <f t="shared" si="7"/>
        <v>3. Souper/Fajitas</v>
      </c>
      <c r="B422" s="28" t="s">
        <v>49</v>
      </c>
      <c r="C422" s="19" t="s">
        <v>186</v>
      </c>
      <c r="D422" s="19" t="s">
        <v>137</v>
      </c>
      <c r="E422" s="19" t="s">
        <v>24</v>
      </c>
      <c r="F422" s="31">
        <v>80</v>
      </c>
      <c r="G422" s="19" t="s">
        <v>15</v>
      </c>
    </row>
    <row r="423" spans="1:7" x14ac:dyDescent="0.3">
      <c r="A423" s="17" t="str">
        <f t="shared" si="7"/>
        <v>3. Souper/Fajitas</v>
      </c>
      <c r="B423" s="28" t="s">
        <v>49</v>
      </c>
      <c r="C423" s="19" t="s">
        <v>186</v>
      </c>
      <c r="D423" s="19" t="s">
        <v>189</v>
      </c>
      <c r="E423" s="19" t="s">
        <v>26</v>
      </c>
      <c r="F423" s="31">
        <v>56</v>
      </c>
      <c r="G423" s="19" t="s">
        <v>15</v>
      </c>
    </row>
    <row r="424" spans="1:7" x14ac:dyDescent="0.3">
      <c r="A424" s="17" t="str">
        <f t="shared" si="7"/>
        <v>3. Souper/Fajitas</v>
      </c>
      <c r="B424" s="28" t="s">
        <v>49</v>
      </c>
      <c r="C424" s="19" t="s">
        <v>186</v>
      </c>
      <c r="D424" s="19" t="s">
        <v>174</v>
      </c>
      <c r="E424" s="19" t="s">
        <v>26</v>
      </c>
      <c r="F424" s="31">
        <v>0.33</v>
      </c>
      <c r="G424" s="19" t="s">
        <v>83</v>
      </c>
    </row>
    <row r="425" spans="1:7" x14ac:dyDescent="0.3">
      <c r="A425" s="17" t="str">
        <f t="shared" si="7"/>
        <v>3. Souper/Fajitas</v>
      </c>
      <c r="B425" s="28" t="s">
        <v>49</v>
      </c>
      <c r="C425" s="19" t="s">
        <v>186</v>
      </c>
      <c r="D425" s="19" t="s">
        <v>71</v>
      </c>
      <c r="E425" s="19" t="s">
        <v>26</v>
      </c>
      <c r="F425" s="31">
        <v>0.125</v>
      </c>
      <c r="G425" s="19" t="s">
        <v>18</v>
      </c>
    </row>
    <row r="426" spans="1:7" x14ac:dyDescent="0.3">
      <c r="A426" s="17" t="str">
        <f t="shared" si="7"/>
        <v>3. Souper/Fajitas</v>
      </c>
      <c r="B426" s="28" t="s">
        <v>49</v>
      </c>
      <c r="C426" s="19" t="s">
        <v>186</v>
      </c>
      <c r="D426" s="19" t="s">
        <v>190</v>
      </c>
      <c r="E426" s="19" t="s">
        <v>14</v>
      </c>
      <c r="F426" s="31">
        <v>30</v>
      </c>
      <c r="G426" s="19" t="s">
        <v>80</v>
      </c>
    </row>
    <row r="427" spans="1:7" x14ac:dyDescent="0.3">
      <c r="A427" s="17" t="str">
        <f t="shared" si="7"/>
        <v>3. Souper/Fajitas</v>
      </c>
      <c r="B427" s="28" t="s">
        <v>49</v>
      </c>
      <c r="C427" s="19" t="s">
        <v>186</v>
      </c>
      <c r="D427" s="19" t="s">
        <v>75</v>
      </c>
      <c r="E427" s="19" t="s">
        <v>26</v>
      </c>
      <c r="F427" s="31">
        <v>0.15</v>
      </c>
      <c r="G427" s="19" t="s">
        <v>83</v>
      </c>
    </row>
    <row r="428" spans="1:7" x14ac:dyDescent="0.3">
      <c r="A428" s="17" t="str">
        <f t="shared" si="7"/>
        <v>3. Souper/Fajitas</v>
      </c>
      <c r="B428" s="28" t="s">
        <v>49</v>
      </c>
      <c r="C428" s="19" t="s">
        <v>186</v>
      </c>
      <c r="D428" s="19" t="s">
        <v>84</v>
      </c>
      <c r="E428" s="19" t="s">
        <v>26</v>
      </c>
      <c r="F428" s="31">
        <v>0.15</v>
      </c>
      <c r="G428" s="19" t="s">
        <v>83</v>
      </c>
    </row>
    <row r="429" spans="1:7" x14ac:dyDescent="0.3">
      <c r="A429" s="17" t="str">
        <f t="shared" si="7"/>
        <v>3. Souper/Fajitas</v>
      </c>
      <c r="B429" s="28" t="s">
        <v>49</v>
      </c>
      <c r="C429" s="19" t="s">
        <v>186</v>
      </c>
      <c r="D429" s="19" t="s">
        <v>82</v>
      </c>
      <c r="E429" s="19" t="s">
        <v>26</v>
      </c>
      <c r="F429" s="31">
        <v>0.15</v>
      </c>
      <c r="G429" s="19" t="s">
        <v>83</v>
      </c>
    </row>
    <row r="430" spans="1:7" x14ac:dyDescent="0.3">
      <c r="A430" s="17" t="str">
        <f t="shared" si="7"/>
        <v>3. Souper/Brownies</v>
      </c>
      <c r="B430" s="28" t="s">
        <v>49</v>
      </c>
      <c r="C430" s="19" t="s">
        <v>202</v>
      </c>
      <c r="D430" s="19" t="s">
        <v>203</v>
      </c>
      <c r="E430" s="19" t="s">
        <v>24</v>
      </c>
      <c r="F430" s="31">
        <v>6.25E-2</v>
      </c>
      <c r="G430" s="19" t="s">
        <v>154</v>
      </c>
    </row>
    <row r="431" spans="1:7" x14ac:dyDescent="0.3">
      <c r="A431" s="17" t="str">
        <f t="shared" si="7"/>
        <v>3. Souper/Brownies</v>
      </c>
      <c r="B431" s="28" t="s">
        <v>49</v>
      </c>
      <c r="C431" s="19" t="s">
        <v>202</v>
      </c>
      <c r="D431" s="19" t="s">
        <v>204</v>
      </c>
      <c r="E431" s="19" t="s">
        <v>24</v>
      </c>
      <c r="F431" s="31">
        <v>0.125</v>
      </c>
      <c r="G431" s="19" t="s">
        <v>205</v>
      </c>
    </row>
    <row r="432" spans="1:7" x14ac:dyDescent="0.3">
      <c r="A432" s="17" t="str">
        <f t="shared" si="7"/>
        <v>3. Souper/Brochette souvlaki</v>
      </c>
      <c r="B432" s="28" t="s">
        <v>49</v>
      </c>
      <c r="C432" s="19" t="s">
        <v>364</v>
      </c>
      <c r="D432" s="19" t="s">
        <v>365</v>
      </c>
      <c r="E432" s="19" t="s">
        <v>21</v>
      </c>
      <c r="F432" s="31">
        <v>100</v>
      </c>
      <c r="G432" s="19" t="s">
        <v>80</v>
      </c>
    </row>
    <row r="433" spans="1:10" x14ac:dyDescent="0.3">
      <c r="A433" s="17" t="str">
        <f t="shared" ref="A433:A496" si="8">CONCATENATE(B433,"/",C433)</f>
        <v>3. Souper/Brochette souvlaki</v>
      </c>
      <c r="B433" s="28" t="s">
        <v>49</v>
      </c>
      <c r="C433" s="19" t="s">
        <v>364</v>
      </c>
      <c r="D433" s="19" t="s">
        <v>366</v>
      </c>
      <c r="E433" s="19" t="s">
        <v>21</v>
      </c>
      <c r="F433" s="31">
        <v>100</v>
      </c>
      <c r="G433" s="19" t="s">
        <v>80</v>
      </c>
    </row>
    <row r="434" spans="1:10" x14ac:dyDescent="0.3">
      <c r="A434" s="17" t="str">
        <f t="shared" si="8"/>
        <v>Collation/Yogurt grec</v>
      </c>
      <c r="B434" s="28" t="s">
        <v>16</v>
      </c>
      <c r="C434" s="19" t="s">
        <v>13</v>
      </c>
      <c r="D434" s="19" t="s">
        <v>13</v>
      </c>
      <c r="E434" s="19" t="s">
        <v>14</v>
      </c>
      <c r="F434" s="31">
        <v>80</v>
      </c>
      <c r="G434" s="19" t="s">
        <v>15</v>
      </c>
    </row>
    <row r="435" spans="1:10" x14ac:dyDescent="0.3">
      <c r="A435" s="17" t="str">
        <f t="shared" si="8"/>
        <v>Collation/Yogurt</v>
      </c>
      <c r="B435" s="28" t="s">
        <v>16</v>
      </c>
      <c r="C435" s="19" t="s">
        <v>17</v>
      </c>
      <c r="D435" s="19" t="s">
        <v>17</v>
      </c>
      <c r="E435" s="19" t="s">
        <v>14</v>
      </c>
      <c r="F435" s="31">
        <v>1</v>
      </c>
      <c r="G435" s="19" t="s">
        <v>18</v>
      </c>
    </row>
    <row r="436" spans="1:10" x14ac:dyDescent="0.3">
      <c r="A436" s="17" t="str">
        <f t="shared" si="8"/>
        <v>Collation/Trempette</v>
      </c>
      <c r="B436" s="28" t="s">
        <v>16</v>
      </c>
      <c r="C436" s="19" t="s">
        <v>36</v>
      </c>
      <c r="D436" s="19" t="s">
        <v>36</v>
      </c>
      <c r="E436" s="19" t="s">
        <v>24</v>
      </c>
      <c r="F436" s="31">
        <v>25</v>
      </c>
      <c r="G436" s="19" t="s">
        <v>22</v>
      </c>
    </row>
    <row r="437" spans="1:10" x14ac:dyDescent="0.3">
      <c r="A437" s="17" t="str">
        <f t="shared" si="8"/>
        <v>Collation/Trail Mix</v>
      </c>
      <c r="B437" s="28" t="s">
        <v>16</v>
      </c>
      <c r="C437" s="19" t="s">
        <v>404</v>
      </c>
      <c r="D437" s="19" t="s">
        <v>404</v>
      </c>
      <c r="E437" s="19" t="s">
        <v>24</v>
      </c>
      <c r="F437" s="31">
        <v>40</v>
      </c>
      <c r="G437" s="19" t="s">
        <v>80</v>
      </c>
    </row>
    <row r="438" spans="1:10" x14ac:dyDescent="0.3">
      <c r="A438" s="17" t="str">
        <f t="shared" si="8"/>
        <v>Collation/Tostitos Spoons</v>
      </c>
      <c r="B438" s="28" t="s">
        <v>16</v>
      </c>
      <c r="C438" s="19" t="s">
        <v>37</v>
      </c>
      <c r="D438" s="19" t="s">
        <v>37</v>
      </c>
      <c r="E438" s="19" t="s">
        <v>24</v>
      </c>
      <c r="F438" s="31">
        <v>100</v>
      </c>
      <c r="G438" s="19" t="s">
        <v>22</v>
      </c>
    </row>
    <row r="439" spans="1:10" x14ac:dyDescent="0.3">
      <c r="A439" s="17" t="str">
        <f t="shared" si="8"/>
        <v>Collation/Soupe Lipton</v>
      </c>
      <c r="B439" s="28" t="s">
        <v>16</v>
      </c>
      <c r="C439" s="19" t="s">
        <v>47</v>
      </c>
      <c r="D439" s="19" t="s">
        <v>47</v>
      </c>
      <c r="E439" s="19" t="s">
        <v>24</v>
      </c>
      <c r="F439" s="31">
        <v>0.17499999999999999</v>
      </c>
      <c r="G439" s="19" t="s">
        <v>48</v>
      </c>
    </row>
    <row r="440" spans="1:10" x14ac:dyDescent="0.3">
      <c r="A440" s="17" t="str">
        <f t="shared" si="8"/>
        <v>Collation/Soupe à l'ognion</v>
      </c>
      <c r="B440" s="28" t="s">
        <v>16</v>
      </c>
      <c r="C440" s="19" t="s">
        <v>55</v>
      </c>
      <c r="D440" s="19" t="s">
        <v>55</v>
      </c>
      <c r="E440" s="29" t="s">
        <v>506</v>
      </c>
      <c r="F440" s="31">
        <v>0.7</v>
      </c>
      <c r="G440" s="19" t="s">
        <v>18</v>
      </c>
    </row>
    <row r="441" spans="1:10" x14ac:dyDescent="0.3">
      <c r="A441" s="17" t="str">
        <f t="shared" si="8"/>
        <v>Collation/Smores</v>
      </c>
      <c r="B441" s="28" t="s">
        <v>16</v>
      </c>
      <c r="C441" s="19" t="s">
        <v>58</v>
      </c>
      <c r="D441" s="19" t="s">
        <v>59</v>
      </c>
      <c r="E441" s="19" t="s">
        <v>24</v>
      </c>
      <c r="F441" s="31">
        <v>3</v>
      </c>
      <c r="G441" s="19" t="s">
        <v>18</v>
      </c>
    </row>
    <row r="442" spans="1:10" x14ac:dyDescent="0.3">
      <c r="A442" s="17" t="str">
        <f t="shared" si="8"/>
        <v>Collation/Smores</v>
      </c>
      <c r="B442" s="28" t="s">
        <v>16</v>
      </c>
      <c r="C442" s="19" t="s">
        <v>58</v>
      </c>
      <c r="D442" s="19" t="s">
        <v>60</v>
      </c>
      <c r="E442" s="19" t="s">
        <v>24</v>
      </c>
      <c r="F442" s="31">
        <v>3</v>
      </c>
      <c r="G442" s="19" t="s">
        <v>18</v>
      </c>
    </row>
    <row r="443" spans="1:10" x14ac:dyDescent="0.3">
      <c r="A443" s="17" t="str">
        <f t="shared" si="8"/>
        <v>Collation/Smores</v>
      </c>
      <c r="B443" s="28" t="s">
        <v>16</v>
      </c>
      <c r="C443" s="19" t="s">
        <v>58</v>
      </c>
      <c r="D443" s="19" t="s">
        <v>63</v>
      </c>
      <c r="E443" s="19" t="s">
        <v>24</v>
      </c>
      <c r="F443" s="31">
        <v>3</v>
      </c>
      <c r="G443" s="19" t="s">
        <v>18</v>
      </c>
    </row>
    <row r="444" spans="1:10" x14ac:dyDescent="0.3">
      <c r="A444" s="17" t="str">
        <f t="shared" si="8"/>
        <v>Collation/S'Moores</v>
      </c>
      <c r="B444" s="28" t="s">
        <v>16</v>
      </c>
      <c r="C444" s="19" t="s">
        <v>61</v>
      </c>
      <c r="D444" s="19" t="s">
        <v>62</v>
      </c>
      <c r="E444" s="19" t="s">
        <v>24</v>
      </c>
      <c r="F444" s="31">
        <v>4</v>
      </c>
      <c r="G444" s="19" t="s">
        <v>18</v>
      </c>
    </row>
    <row r="445" spans="1:10" x14ac:dyDescent="0.3">
      <c r="A445" s="17" t="str">
        <f t="shared" si="8"/>
        <v>Collation/S'Moores</v>
      </c>
      <c r="B445" s="28" t="s">
        <v>16</v>
      </c>
      <c r="C445" s="19" t="s">
        <v>61</v>
      </c>
      <c r="D445" s="19" t="s">
        <v>63</v>
      </c>
      <c r="E445" s="19" t="s">
        <v>24</v>
      </c>
      <c r="F445" s="31">
        <v>30</v>
      </c>
      <c r="G445" s="19" t="s">
        <v>22</v>
      </c>
    </row>
    <row r="446" spans="1:10" x14ac:dyDescent="0.3">
      <c r="A446" s="17" t="str">
        <f t="shared" si="8"/>
        <v>Collation/S'moores</v>
      </c>
      <c r="B446" s="28" t="s">
        <v>16</v>
      </c>
      <c r="C446" s="19" t="s">
        <v>393</v>
      </c>
      <c r="D446" s="19" t="s">
        <v>394</v>
      </c>
      <c r="E446" s="19" t="s">
        <v>24</v>
      </c>
      <c r="F446" s="31">
        <v>6</v>
      </c>
      <c r="G446" s="19" t="s">
        <v>83</v>
      </c>
      <c r="J446" s="20" t="s">
        <v>510</v>
      </c>
    </row>
    <row r="447" spans="1:10" x14ac:dyDescent="0.3">
      <c r="A447" s="17" t="str">
        <f t="shared" si="8"/>
        <v>Collation/Sandwich scouts</v>
      </c>
      <c r="B447" s="28" t="s">
        <v>16</v>
      </c>
      <c r="C447" s="19" t="s">
        <v>244</v>
      </c>
      <c r="D447" s="19" t="s">
        <v>245</v>
      </c>
      <c r="E447" s="19" t="s">
        <v>19</v>
      </c>
      <c r="F447" s="31">
        <v>1.2</v>
      </c>
      <c r="G447" s="19" t="s">
        <v>18</v>
      </c>
    </row>
    <row r="448" spans="1:10" x14ac:dyDescent="0.3">
      <c r="A448" s="17" t="str">
        <f t="shared" si="8"/>
        <v>Collation/Sandwich scouts</v>
      </c>
      <c r="B448" s="28" t="s">
        <v>16</v>
      </c>
      <c r="C448" s="19" t="s">
        <v>244</v>
      </c>
      <c r="D448" s="19" t="s">
        <v>246</v>
      </c>
      <c r="E448" s="19" t="s">
        <v>26</v>
      </c>
      <c r="F448" s="31">
        <v>0.05</v>
      </c>
      <c r="G448" s="19" t="s">
        <v>18</v>
      </c>
    </row>
    <row r="449" spans="1:7" x14ac:dyDescent="0.3">
      <c r="A449" s="17" t="str">
        <f t="shared" si="8"/>
        <v>Collation/Sandwich scouts</v>
      </c>
      <c r="B449" s="28" t="s">
        <v>16</v>
      </c>
      <c r="C449" s="19" t="s">
        <v>244</v>
      </c>
      <c r="D449" s="19" t="s">
        <v>247</v>
      </c>
      <c r="E449" s="19" t="s">
        <v>14</v>
      </c>
      <c r="F449" s="31">
        <v>2</v>
      </c>
      <c r="G449" s="19" t="s">
        <v>18</v>
      </c>
    </row>
    <row r="450" spans="1:7" x14ac:dyDescent="0.3">
      <c r="A450" s="17" t="str">
        <f t="shared" si="8"/>
        <v>Collation/Sandwich scouts</v>
      </c>
      <c r="B450" s="28" t="s">
        <v>16</v>
      </c>
      <c r="C450" s="19" t="s">
        <v>244</v>
      </c>
      <c r="D450" s="19" t="s">
        <v>108</v>
      </c>
      <c r="E450" s="19" t="s">
        <v>26</v>
      </c>
      <c r="F450" s="31">
        <v>0.02</v>
      </c>
      <c r="G450" s="19" t="s">
        <v>248</v>
      </c>
    </row>
    <row r="451" spans="1:7" x14ac:dyDescent="0.3">
      <c r="A451" s="17" t="str">
        <f t="shared" si="8"/>
        <v>Collation/Rice Krispies</v>
      </c>
      <c r="B451" s="28" t="s">
        <v>16</v>
      </c>
      <c r="C451" s="19" t="s">
        <v>93</v>
      </c>
      <c r="D451" s="19" t="s">
        <v>93</v>
      </c>
      <c r="E451" s="19" t="s">
        <v>24</v>
      </c>
      <c r="F451" s="31">
        <v>1</v>
      </c>
      <c r="G451" s="19" t="s">
        <v>18</v>
      </c>
    </row>
    <row r="452" spans="1:7" x14ac:dyDescent="0.3">
      <c r="A452" s="17" t="str">
        <f t="shared" si="8"/>
        <v>Collation/Rice krispies</v>
      </c>
      <c r="B452" s="28" t="s">
        <v>16</v>
      </c>
      <c r="C452" s="19" t="s">
        <v>338</v>
      </c>
      <c r="D452" s="19" t="s">
        <v>339</v>
      </c>
      <c r="E452" s="29" t="s">
        <v>24</v>
      </c>
      <c r="F452" s="31">
        <v>1</v>
      </c>
      <c r="G452" s="19" t="s">
        <v>18</v>
      </c>
    </row>
    <row r="453" spans="1:7" x14ac:dyDescent="0.3">
      <c r="A453" s="17" t="str">
        <f t="shared" si="8"/>
        <v>Collation/Raisins</v>
      </c>
      <c r="B453" s="28" t="s">
        <v>16</v>
      </c>
      <c r="C453" s="19" t="s">
        <v>221</v>
      </c>
      <c r="D453" s="19" t="s">
        <v>221</v>
      </c>
      <c r="E453" s="19" t="s">
        <v>26</v>
      </c>
      <c r="F453" s="31">
        <v>115</v>
      </c>
      <c r="G453" s="19" t="s">
        <v>80</v>
      </c>
    </row>
    <row r="454" spans="1:7" x14ac:dyDescent="0.3">
      <c r="A454" s="17" t="str">
        <f t="shared" si="8"/>
        <v>Collation/Pudding au chocolat</v>
      </c>
      <c r="B454" s="28" t="s">
        <v>16</v>
      </c>
      <c r="C454" s="19" t="s">
        <v>464</v>
      </c>
      <c r="D454" s="19" t="s">
        <v>464</v>
      </c>
      <c r="E454" s="19" t="s">
        <v>14</v>
      </c>
      <c r="F454" s="31">
        <v>1</v>
      </c>
      <c r="G454" s="19" t="s">
        <v>18</v>
      </c>
    </row>
    <row r="455" spans="1:7" x14ac:dyDescent="0.3">
      <c r="A455" s="17" t="str">
        <f t="shared" si="8"/>
        <v>Collation/Popcorn</v>
      </c>
      <c r="B455" s="28" t="s">
        <v>16</v>
      </c>
      <c r="C455" s="19" t="s">
        <v>308</v>
      </c>
      <c r="D455" s="19" t="s">
        <v>309</v>
      </c>
      <c r="E455" s="29" t="s">
        <v>24</v>
      </c>
      <c r="F455" s="31">
        <v>0.15</v>
      </c>
      <c r="G455" s="19" t="s">
        <v>18</v>
      </c>
    </row>
    <row r="456" spans="1:7" x14ac:dyDescent="0.3">
      <c r="A456" s="17" t="str">
        <f t="shared" si="8"/>
        <v>Collation/Popcorn</v>
      </c>
      <c r="B456" s="28" t="s">
        <v>16</v>
      </c>
      <c r="C456" s="19" t="s">
        <v>308</v>
      </c>
      <c r="D456" s="19" t="s">
        <v>308</v>
      </c>
      <c r="E456" s="19" t="s">
        <v>24</v>
      </c>
      <c r="F456" s="31">
        <v>40</v>
      </c>
      <c r="G456" s="19" t="s">
        <v>80</v>
      </c>
    </row>
    <row r="457" spans="1:7" x14ac:dyDescent="0.3">
      <c r="A457" s="17" t="str">
        <f t="shared" si="8"/>
        <v>Collation/Pommes</v>
      </c>
      <c r="B457" s="28" t="s">
        <v>16</v>
      </c>
      <c r="C457" s="19" t="s">
        <v>292</v>
      </c>
      <c r="D457" s="19" t="s">
        <v>100</v>
      </c>
      <c r="E457" s="19" t="s">
        <v>26</v>
      </c>
      <c r="F457" s="31">
        <v>2</v>
      </c>
      <c r="G457" s="19" t="s">
        <v>83</v>
      </c>
    </row>
    <row r="458" spans="1:7" x14ac:dyDescent="0.3">
      <c r="A458" s="17" t="str">
        <f t="shared" si="8"/>
        <v>Collation/Pomme</v>
      </c>
      <c r="B458" s="28" t="s">
        <v>16</v>
      </c>
      <c r="C458" s="19" t="s">
        <v>100</v>
      </c>
      <c r="D458" s="19" t="s">
        <v>100</v>
      </c>
      <c r="E458" s="19" t="s">
        <v>26</v>
      </c>
      <c r="F458" s="31">
        <v>1</v>
      </c>
      <c r="G458" s="19" t="s">
        <v>18</v>
      </c>
    </row>
    <row r="459" spans="1:7" x14ac:dyDescent="0.3">
      <c r="A459" s="17" t="str">
        <f t="shared" si="8"/>
        <v>Collation/Pizza froide</v>
      </c>
      <c r="B459" s="28" t="s">
        <v>16</v>
      </c>
      <c r="C459" s="19" t="s">
        <v>104</v>
      </c>
      <c r="D459" s="19" t="s">
        <v>104</v>
      </c>
      <c r="E459" s="19" t="s">
        <v>24</v>
      </c>
      <c r="F459" s="31">
        <v>100</v>
      </c>
      <c r="G459" s="19" t="s">
        <v>22</v>
      </c>
    </row>
    <row r="460" spans="1:7" x14ac:dyDescent="0.3">
      <c r="A460" s="17" t="str">
        <f t="shared" si="8"/>
        <v>Collation/Pêches</v>
      </c>
      <c r="B460" s="28" t="s">
        <v>16</v>
      </c>
      <c r="C460" s="19" t="s">
        <v>231</v>
      </c>
      <c r="D460" s="19" t="s">
        <v>231</v>
      </c>
      <c r="E460" s="19" t="s">
        <v>26</v>
      </c>
      <c r="F460" s="31">
        <v>1</v>
      </c>
      <c r="G460" s="19" t="s">
        <v>18</v>
      </c>
    </row>
    <row r="461" spans="1:7" x14ac:dyDescent="0.3">
      <c r="A461" s="17" t="str">
        <f t="shared" si="8"/>
        <v>Collation/Orange</v>
      </c>
      <c r="B461" s="28" t="s">
        <v>16</v>
      </c>
      <c r="C461" s="19" t="s">
        <v>122</v>
      </c>
      <c r="D461" s="19" t="s">
        <v>122</v>
      </c>
      <c r="E461" s="19" t="s">
        <v>26</v>
      </c>
      <c r="F461" s="31">
        <v>1</v>
      </c>
      <c r="G461" s="19" t="s">
        <v>18</v>
      </c>
    </row>
    <row r="462" spans="1:7" x14ac:dyDescent="0.3">
      <c r="A462" s="17" t="str">
        <f t="shared" si="8"/>
        <v>Collation/Nachos</v>
      </c>
      <c r="B462" s="28" t="s">
        <v>16</v>
      </c>
      <c r="C462" s="19" t="s">
        <v>130</v>
      </c>
      <c r="D462" s="19" t="s">
        <v>131</v>
      </c>
      <c r="E462" s="19" t="s">
        <v>24</v>
      </c>
      <c r="F462" s="31">
        <v>2</v>
      </c>
      <c r="G462" s="19" t="s">
        <v>132</v>
      </c>
    </row>
    <row r="463" spans="1:7" x14ac:dyDescent="0.3">
      <c r="A463" s="17" t="str">
        <f t="shared" si="8"/>
        <v>Collation/Nachos</v>
      </c>
      <c r="B463" s="28" t="s">
        <v>16</v>
      </c>
      <c r="C463" s="19" t="s">
        <v>130</v>
      </c>
      <c r="D463" s="19" t="s">
        <v>133</v>
      </c>
      <c r="E463" s="19" t="s">
        <v>24</v>
      </c>
      <c r="F463" s="31">
        <v>9.375E-2</v>
      </c>
      <c r="G463" s="19" t="s">
        <v>134</v>
      </c>
    </row>
    <row r="464" spans="1:7" x14ac:dyDescent="0.3">
      <c r="A464" s="17" t="str">
        <f t="shared" si="8"/>
        <v>Collation/Nachos</v>
      </c>
      <c r="B464" s="28" t="s">
        <v>16</v>
      </c>
      <c r="C464" s="19" t="s">
        <v>130</v>
      </c>
      <c r="D464" s="19" t="s">
        <v>135</v>
      </c>
      <c r="E464" s="19" t="s">
        <v>24</v>
      </c>
      <c r="F464" s="31">
        <v>3.125E-2</v>
      </c>
      <c r="G464" s="19" t="s">
        <v>136</v>
      </c>
    </row>
    <row r="465" spans="1:7" x14ac:dyDescent="0.3">
      <c r="A465" s="17" t="str">
        <f t="shared" si="8"/>
        <v>Collation/Nachos</v>
      </c>
      <c r="B465" s="28" t="s">
        <v>16</v>
      </c>
      <c r="C465" s="19" t="s">
        <v>130</v>
      </c>
      <c r="D465" s="19" t="s">
        <v>137</v>
      </c>
      <c r="E465" s="19" t="s">
        <v>24</v>
      </c>
      <c r="F465" s="31">
        <v>3.125E-2</v>
      </c>
      <c r="G465" s="19" t="s">
        <v>138</v>
      </c>
    </row>
    <row r="466" spans="1:7" x14ac:dyDescent="0.3">
      <c r="A466" s="17" t="str">
        <f t="shared" si="8"/>
        <v>Collation/Nachos</v>
      </c>
      <c r="B466" s="28" t="s">
        <v>16</v>
      </c>
      <c r="C466" s="19" t="s">
        <v>130</v>
      </c>
      <c r="D466" s="19" t="s">
        <v>139</v>
      </c>
      <c r="E466" s="19" t="s">
        <v>14</v>
      </c>
      <c r="F466" s="31">
        <v>3.125E-2</v>
      </c>
      <c r="G466" s="19" t="s">
        <v>138</v>
      </c>
    </row>
    <row r="467" spans="1:7" x14ac:dyDescent="0.3">
      <c r="A467" s="17" t="str">
        <f t="shared" si="8"/>
        <v>Collation/Nachos</v>
      </c>
      <c r="B467" s="28" t="s">
        <v>16</v>
      </c>
      <c r="C467" s="19" t="s">
        <v>130</v>
      </c>
      <c r="D467" s="19" t="s">
        <v>140</v>
      </c>
      <c r="E467" s="19" t="s">
        <v>14</v>
      </c>
      <c r="F467" s="31">
        <v>15</v>
      </c>
      <c r="G467" s="19" t="s">
        <v>22</v>
      </c>
    </row>
    <row r="468" spans="1:7" x14ac:dyDescent="0.3">
      <c r="A468" s="17" t="str">
        <f t="shared" si="8"/>
        <v>Collation/Nachos</v>
      </c>
      <c r="B468" s="28" t="s">
        <v>16</v>
      </c>
      <c r="C468" s="19" t="s">
        <v>130</v>
      </c>
      <c r="D468" s="19" t="s">
        <v>417</v>
      </c>
      <c r="E468" s="19" t="s">
        <v>14</v>
      </c>
      <c r="F468" s="31">
        <v>50</v>
      </c>
      <c r="G468" s="19" t="s">
        <v>80</v>
      </c>
    </row>
    <row r="469" spans="1:7" x14ac:dyDescent="0.3">
      <c r="A469" s="17" t="str">
        <f t="shared" si="8"/>
        <v>Collation/Nachos</v>
      </c>
      <c r="B469" s="28" t="s">
        <v>16</v>
      </c>
      <c r="C469" s="19" t="s">
        <v>130</v>
      </c>
      <c r="D469" s="19" t="s">
        <v>414</v>
      </c>
      <c r="E469" s="19" t="s">
        <v>26</v>
      </c>
      <c r="F469" s="31">
        <v>0.5</v>
      </c>
      <c r="G469" s="19" t="s">
        <v>18</v>
      </c>
    </row>
    <row r="470" spans="1:7" x14ac:dyDescent="0.3">
      <c r="A470" s="17" t="str">
        <f t="shared" si="8"/>
        <v>Collation/Nachos</v>
      </c>
      <c r="B470" s="28" t="s">
        <v>16</v>
      </c>
      <c r="C470" s="19" t="s">
        <v>130</v>
      </c>
      <c r="D470" s="19" t="s">
        <v>418</v>
      </c>
      <c r="E470" s="19" t="s">
        <v>24</v>
      </c>
      <c r="F470" s="31">
        <v>20.833333333333332</v>
      </c>
      <c r="G470" s="19" t="s">
        <v>15</v>
      </c>
    </row>
    <row r="471" spans="1:7" x14ac:dyDescent="0.3">
      <c r="A471" s="17" t="str">
        <f t="shared" si="8"/>
        <v>Collation/Nachos</v>
      </c>
      <c r="B471" s="28" t="s">
        <v>16</v>
      </c>
      <c r="C471" s="19" t="s">
        <v>130</v>
      </c>
      <c r="D471" s="19" t="s">
        <v>419</v>
      </c>
      <c r="E471" s="19" t="s">
        <v>26</v>
      </c>
      <c r="F471" s="31">
        <v>0.33333333333333331</v>
      </c>
      <c r="G471" s="19" t="s">
        <v>18</v>
      </c>
    </row>
    <row r="472" spans="1:7" x14ac:dyDescent="0.3">
      <c r="A472" s="17" t="str">
        <f t="shared" si="8"/>
        <v>Collation/Nachos</v>
      </c>
      <c r="B472" s="28" t="s">
        <v>16</v>
      </c>
      <c r="C472" s="19" t="s">
        <v>130</v>
      </c>
      <c r="D472" s="19" t="s">
        <v>420</v>
      </c>
      <c r="E472" s="19" t="s">
        <v>26</v>
      </c>
      <c r="F472" s="31">
        <v>3.3333333333333335</v>
      </c>
      <c r="G472" s="19" t="s">
        <v>80</v>
      </c>
    </row>
    <row r="473" spans="1:7" x14ac:dyDescent="0.3">
      <c r="A473" s="17" t="str">
        <f t="shared" si="8"/>
        <v>Collation/Nachos</v>
      </c>
      <c r="B473" s="28" t="s">
        <v>16</v>
      </c>
      <c r="C473" s="19" t="s">
        <v>130</v>
      </c>
      <c r="D473" s="19" t="s">
        <v>421</v>
      </c>
      <c r="E473" s="19" t="s">
        <v>26</v>
      </c>
      <c r="F473" s="31">
        <v>0.16666666666666666</v>
      </c>
      <c r="G473" s="19" t="s">
        <v>18</v>
      </c>
    </row>
    <row r="474" spans="1:7" x14ac:dyDescent="0.3">
      <c r="A474" s="17" t="str">
        <f t="shared" si="8"/>
        <v>Collation/Jus</v>
      </c>
      <c r="B474" s="28" t="s">
        <v>16</v>
      </c>
      <c r="C474" s="19" t="s">
        <v>152</v>
      </c>
      <c r="D474" s="19" t="s">
        <v>249</v>
      </c>
      <c r="E474" s="19" t="s">
        <v>24</v>
      </c>
      <c r="F474" s="31">
        <v>1</v>
      </c>
      <c r="G474" s="19" t="s">
        <v>18</v>
      </c>
    </row>
    <row r="475" spans="1:7" x14ac:dyDescent="0.3">
      <c r="A475" s="17" t="str">
        <f t="shared" si="8"/>
        <v>Collation/Jus</v>
      </c>
      <c r="B475" s="28" t="s">
        <v>16</v>
      </c>
      <c r="C475" s="19" t="s">
        <v>152</v>
      </c>
      <c r="D475" s="19" t="s">
        <v>340</v>
      </c>
      <c r="E475" s="19" t="s">
        <v>24</v>
      </c>
      <c r="F475" s="31">
        <v>1</v>
      </c>
      <c r="G475" s="19" t="s">
        <v>18</v>
      </c>
    </row>
    <row r="476" spans="1:7" x14ac:dyDescent="0.3">
      <c r="A476" s="17" t="str">
        <f t="shared" si="8"/>
        <v>Collation/Jus</v>
      </c>
      <c r="B476" s="28" t="s">
        <v>16</v>
      </c>
      <c r="C476" s="19" t="s">
        <v>152</v>
      </c>
      <c r="D476" s="19" t="s">
        <v>401</v>
      </c>
      <c r="E476" s="19" t="s">
        <v>24</v>
      </c>
      <c r="F476" s="31">
        <v>1</v>
      </c>
      <c r="G476" s="19" t="s">
        <v>18</v>
      </c>
    </row>
    <row r="477" spans="1:7" x14ac:dyDescent="0.3">
      <c r="A477" s="17" t="str">
        <f t="shared" si="8"/>
        <v>Collation/Guimauves</v>
      </c>
      <c r="B477" s="28" t="s">
        <v>16</v>
      </c>
      <c r="C477" s="19" t="s">
        <v>63</v>
      </c>
      <c r="D477" s="19" t="s">
        <v>63</v>
      </c>
      <c r="E477" s="19" t="s">
        <v>24</v>
      </c>
      <c r="F477" s="31">
        <v>3</v>
      </c>
      <c r="G477" s="19" t="s">
        <v>18</v>
      </c>
    </row>
    <row r="478" spans="1:7" x14ac:dyDescent="0.3">
      <c r="A478" s="17" t="str">
        <f t="shared" si="8"/>
        <v>Collation/Guacamole</v>
      </c>
      <c r="B478" s="28" t="s">
        <v>16</v>
      </c>
      <c r="C478" s="19" t="s">
        <v>159</v>
      </c>
      <c r="D478" s="19" t="s">
        <v>160</v>
      </c>
      <c r="E478" s="19" t="s">
        <v>26</v>
      </c>
      <c r="F478" s="31">
        <v>0.4</v>
      </c>
      <c r="G478" s="19" t="s">
        <v>18</v>
      </c>
    </row>
    <row r="479" spans="1:7" x14ac:dyDescent="0.3">
      <c r="A479" s="17" t="str">
        <f t="shared" si="8"/>
        <v>Collation/Guacamole</v>
      </c>
      <c r="B479" s="28" t="s">
        <v>16</v>
      </c>
      <c r="C479" s="19" t="s">
        <v>159</v>
      </c>
      <c r="D479" s="19" t="s">
        <v>161</v>
      </c>
      <c r="E479" s="19" t="s">
        <v>24</v>
      </c>
      <c r="F479" s="31">
        <v>0.5</v>
      </c>
      <c r="G479" s="19" t="s">
        <v>15</v>
      </c>
    </row>
    <row r="480" spans="1:7" x14ac:dyDescent="0.3">
      <c r="A480" s="17" t="str">
        <f t="shared" si="8"/>
        <v>Collation/Guacamole</v>
      </c>
      <c r="B480" s="28" t="s">
        <v>16</v>
      </c>
      <c r="C480" s="19" t="s">
        <v>159</v>
      </c>
      <c r="D480" s="19" t="s">
        <v>34</v>
      </c>
      <c r="E480" s="19" t="s">
        <v>24</v>
      </c>
      <c r="F480" s="31">
        <v>5</v>
      </c>
      <c r="G480" s="19" t="s">
        <v>15</v>
      </c>
    </row>
    <row r="481" spans="1:7" x14ac:dyDescent="0.3">
      <c r="A481" s="17" t="str">
        <f t="shared" si="8"/>
        <v>Collation/Guacamole</v>
      </c>
      <c r="B481" s="28" t="s">
        <v>16</v>
      </c>
      <c r="C481" s="19" t="s">
        <v>159</v>
      </c>
      <c r="D481" s="19" t="s">
        <v>28</v>
      </c>
      <c r="E481" s="19" t="s">
        <v>26</v>
      </c>
      <c r="F481" s="31">
        <v>0.2</v>
      </c>
      <c r="G481" s="19" t="s">
        <v>18</v>
      </c>
    </row>
    <row r="482" spans="1:7" x14ac:dyDescent="0.3">
      <c r="A482" s="17" t="str">
        <f t="shared" si="8"/>
        <v>Collation/Grilled cheese</v>
      </c>
      <c r="B482" s="28" t="s">
        <v>16</v>
      </c>
      <c r="C482" s="19" t="s">
        <v>162</v>
      </c>
      <c r="D482" s="19" t="s">
        <v>38</v>
      </c>
      <c r="E482" s="19" t="s">
        <v>19</v>
      </c>
      <c r="F482" s="31">
        <v>2.5</v>
      </c>
      <c r="G482" s="19" t="s">
        <v>70</v>
      </c>
    </row>
    <row r="483" spans="1:7" x14ac:dyDescent="0.3">
      <c r="A483" s="17" t="str">
        <f t="shared" si="8"/>
        <v>Collation/Gatorade</v>
      </c>
      <c r="B483" s="28" t="s">
        <v>16</v>
      </c>
      <c r="C483" s="19" t="s">
        <v>424</v>
      </c>
      <c r="D483" s="19" t="s">
        <v>425</v>
      </c>
      <c r="E483" s="19" t="s">
        <v>24</v>
      </c>
      <c r="F483" s="31">
        <v>32</v>
      </c>
      <c r="G483" s="19" t="s">
        <v>80</v>
      </c>
    </row>
    <row r="484" spans="1:7" x14ac:dyDescent="0.3">
      <c r="A484" s="17" t="str">
        <f t="shared" si="8"/>
        <v>Collation/Fruit</v>
      </c>
      <c r="B484" s="28" t="s">
        <v>16</v>
      </c>
      <c r="C484" s="19" t="s">
        <v>170</v>
      </c>
      <c r="D484" s="19" t="s">
        <v>171</v>
      </c>
      <c r="E484" s="19" t="s">
        <v>26</v>
      </c>
      <c r="F484" s="31">
        <v>1</v>
      </c>
      <c r="G484" s="19" t="s">
        <v>18</v>
      </c>
    </row>
    <row r="485" spans="1:7" x14ac:dyDescent="0.3">
      <c r="A485" s="17" t="str">
        <f t="shared" si="8"/>
        <v>Collation/Fromage Petit Québec</v>
      </c>
      <c r="B485" s="28" t="s">
        <v>16</v>
      </c>
      <c r="C485" s="19" t="s">
        <v>428</v>
      </c>
      <c r="D485" s="19" t="s">
        <v>428</v>
      </c>
      <c r="E485" s="19" t="s">
        <v>14</v>
      </c>
      <c r="F485" s="31">
        <v>1</v>
      </c>
      <c r="G485" s="19" t="s">
        <v>18</v>
      </c>
    </row>
    <row r="486" spans="1:7" x14ac:dyDescent="0.3">
      <c r="A486" s="17" t="str">
        <f t="shared" si="8"/>
        <v>Collation/Crudités</v>
      </c>
      <c r="B486" s="28" t="s">
        <v>16</v>
      </c>
      <c r="C486" s="19" t="s">
        <v>218</v>
      </c>
      <c r="D486" s="19" t="s">
        <v>142</v>
      </c>
      <c r="E486" s="19" t="s">
        <v>26</v>
      </c>
      <c r="F486" s="31">
        <v>33</v>
      </c>
      <c r="G486" s="19" t="s">
        <v>22</v>
      </c>
    </row>
    <row r="487" spans="1:7" x14ac:dyDescent="0.3">
      <c r="A487" s="17" t="str">
        <f t="shared" si="8"/>
        <v>Collation/Crudités</v>
      </c>
      <c r="B487" s="28" t="s">
        <v>16</v>
      </c>
      <c r="C487" s="19" t="s">
        <v>218</v>
      </c>
      <c r="D487" s="19" t="s">
        <v>85</v>
      </c>
      <c r="E487" s="19" t="s">
        <v>26</v>
      </c>
      <c r="F487" s="31">
        <v>0.3</v>
      </c>
      <c r="G487" s="19" t="s">
        <v>18</v>
      </c>
    </row>
    <row r="488" spans="1:7" x14ac:dyDescent="0.3">
      <c r="A488" s="17" t="str">
        <f t="shared" si="8"/>
        <v>Collation/Crudités</v>
      </c>
      <c r="B488" s="28" t="s">
        <v>16</v>
      </c>
      <c r="C488" s="19" t="s">
        <v>218</v>
      </c>
      <c r="D488" s="19" t="s">
        <v>219</v>
      </c>
      <c r="E488" s="19" t="s">
        <v>24</v>
      </c>
      <c r="F488" s="31">
        <v>0.1111111111111111</v>
      </c>
      <c r="G488" s="19" t="s">
        <v>220</v>
      </c>
    </row>
    <row r="489" spans="1:7" x14ac:dyDescent="0.3">
      <c r="A489" s="17" t="str">
        <f t="shared" si="8"/>
        <v>Collation/Craquelins et hummus</v>
      </c>
      <c r="B489" s="28" t="s">
        <v>16</v>
      </c>
      <c r="C489" s="19" t="s">
        <v>409</v>
      </c>
      <c r="D489" s="19" t="s">
        <v>410</v>
      </c>
      <c r="E489" s="19" t="s">
        <v>24</v>
      </c>
      <c r="F489" s="31">
        <v>35</v>
      </c>
      <c r="G489" s="19" t="s">
        <v>80</v>
      </c>
    </row>
    <row r="490" spans="1:7" x14ac:dyDescent="0.3">
      <c r="A490" s="17" t="str">
        <f t="shared" si="8"/>
        <v>Collation/Craquelins et hummus</v>
      </c>
      <c r="B490" s="28" t="s">
        <v>16</v>
      </c>
      <c r="C490" s="19" t="s">
        <v>409</v>
      </c>
      <c r="D490" s="19" t="s">
        <v>143</v>
      </c>
      <c r="E490" s="19" t="s">
        <v>24</v>
      </c>
      <c r="F490" s="31">
        <v>40</v>
      </c>
      <c r="G490" s="19" t="s">
        <v>80</v>
      </c>
    </row>
    <row r="491" spans="1:7" x14ac:dyDescent="0.3">
      <c r="A491" s="17" t="str">
        <f t="shared" si="8"/>
        <v>Collation/Concombres anglais</v>
      </c>
      <c r="B491" s="28" t="s">
        <v>16</v>
      </c>
      <c r="C491" s="19" t="s">
        <v>30</v>
      </c>
      <c r="D491" s="19" t="s">
        <v>30</v>
      </c>
      <c r="E491" s="19" t="s">
        <v>26</v>
      </c>
      <c r="F491" s="31">
        <v>0.2</v>
      </c>
      <c r="G491" s="19" t="s">
        <v>18</v>
      </c>
    </row>
    <row r="492" spans="1:7" x14ac:dyDescent="0.3">
      <c r="A492" s="17" t="str">
        <f t="shared" si="8"/>
        <v>Collation/Compote de pommes</v>
      </c>
      <c r="B492" s="28" t="s">
        <v>16</v>
      </c>
      <c r="C492" s="19" t="s">
        <v>451</v>
      </c>
      <c r="D492" s="19" t="s">
        <v>451</v>
      </c>
      <c r="E492" s="19" t="s">
        <v>24</v>
      </c>
      <c r="F492" s="31">
        <v>1</v>
      </c>
      <c r="G492" s="19" t="s">
        <v>18</v>
      </c>
    </row>
    <row r="493" spans="1:7" x14ac:dyDescent="0.3">
      <c r="A493" s="17" t="str">
        <f t="shared" si="8"/>
        <v>Collation/Chocolat chaud</v>
      </c>
      <c r="B493" s="28" t="s">
        <v>16</v>
      </c>
      <c r="C493" s="19" t="s">
        <v>195</v>
      </c>
      <c r="D493" s="19" t="s">
        <v>195</v>
      </c>
      <c r="E493" s="19" t="s">
        <v>24</v>
      </c>
      <c r="F493" s="31">
        <v>5</v>
      </c>
      <c r="G493" s="19" t="s">
        <v>80</v>
      </c>
    </row>
    <row r="494" spans="1:7" x14ac:dyDescent="0.3">
      <c r="A494" s="17" t="str">
        <f t="shared" si="8"/>
        <v>Collation/Chocolat chaud</v>
      </c>
      <c r="B494" s="28" t="s">
        <v>16</v>
      </c>
      <c r="C494" s="19" t="s">
        <v>195</v>
      </c>
      <c r="D494" s="19" t="s">
        <v>196</v>
      </c>
      <c r="E494" s="19" t="s">
        <v>24</v>
      </c>
      <c r="F494" s="31">
        <v>20</v>
      </c>
      <c r="G494" s="19" t="s">
        <v>15</v>
      </c>
    </row>
    <row r="495" spans="1:7" x14ac:dyDescent="0.3">
      <c r="A495" s="17" t="str">
        <f t="shared" si="8"/>
        <v>Collation/Chocolat chaud</v>
      </c>
      <c r="B495" s="28" t="s">
        <v>16</v>
      </c>
      <c r="C495" s="19" t="s">
        <v>195</v>
      </c>
      <c r="D495" s="19" t="s">
        <v>145</v>
      </c>
      <c r="E495" s="19" t="s">
        <v>14</v>
      </c>
      <c r="F495" s="31">
        <v>0.17499999999999999</v>
      </c>
      <c r="G495" s="19" t="s">
        <v>146</v>
      </c>
    </row>
    <row r="496" spans="1:7" x14ac:dyDescent="0.3">
      <c r="A496" s="17" t="str">
        <f t="shared" si="8"/>
        <v>Collation/Chocolat chaud</v>
      </c>
      <c r="B496" s="28" t="s">
        <v>16</v>
      </c>
      <c r="C496" s="19" t="s">
        <v>195</v>
      </c>
      <c r="D496" s="19" t="s">
        <v>275</v>
      </c>
      <c r="E496" s="19" t="s">
        <v>24</v>
      </c>
      <c r="F496" s="31">
        <v>30</v>
      </c>
      <c r="G496" s="19" t="s">
        <v>22</v>
      </c>
    </row>
    <row r="497" spans="1:7" x14ac:dyDescent="0.3">
      <c r="A497" s="17" t="str">
        <f t="shared" ref="A497:A525" si="9">CONCATENATE(B497,"/",C497)</f>
        <v>Collation/Chocolat chaud</v>
      </c>
      <c r="B497" s="28" t="s">
        <v>16</v>
      </c>
      <c r="C497" s="19" t="s">
        <v>195</v>
      </c>
      <c r="D497" s="19" t="s">
        <v>325</v>
      </c>
      <c r="E497" s="19" t="s">
        <v>24</v>
      </c>
      <c r="F497" s="31">
        <v>1.0309278350515464E-2</v>
      </c>
      <c r="G497" s="19" t="s">
        <v>136</v>
      </c>
    </row>
    <row r="498" spans="1:7" x14ac:dyDescent="0.3">
      <c r="A498" s="17" t="str">
        <f t="shared" si="9"/>
        <v>Collation/Chips</v>
      </c>
      <c r="B498" s="28" t="s">
        <v>16</v>
      </c>
      <c r="C498" s="19" t="s">
        <v>226</v>
      </c>
      <c r="D498" s="19" t="s">
        <v>397</v>
      </c>
      <c r="E498" s="19" t="s">
        <v>24</v>
      </c>
      <c r="F498" s="31">
        <v>40</v>
      </c>
      <c r="G498" s="19" t="s">
        <v>80</v>
      </c>
    </row>
    <row r="499" spans="1:7" x14ac:dyDescent="0.3">
      <c r="A499" s="17" t="str">
        <f t="shared" si="9"/>
        <v>Collation/Chips</v>
      </c>
      <c r="B499" s="28" t="s">
        <v>16</v>
      </c>
      <c r="C499" s="19" t="s">
        <v>226</v>
      </c>
      <c r="D499" s="19" t="s">
        <v>398</v>
      </c>
      <c r="E499" s="19" t="s">
        <v>24</v>
      </c>
      <c r="F499" s="31">
        <v>40</v>
      </c>
      <c r="G499" s="19" t="s">
        <v>80</v>
      </c>
    </row>
    <row r="500" spans="1:7" x14ac:dyDescent="0.3">
      <c r="A500" s="17" t="str">
        <f t="shared" si="9"/>
        <v>Collation/Chips</v>
      </c>
      <c r="B500" s="28" t="s">
        <v>16</v>
      </c>
      <c r="C500" s="19" t="s">
        <v>226</v>
      </c>
      <c r="D500" s="19" t="s">
        <v>399</v>
      </c>
      <c r="E500" s="19" t="s">
        <v>24</v>
      </c>
      <c r="F500" s="31">
        <v>40</v>
      </c>
      <c r="G500" s="19" t="s">
        <v>80</v>
      </c>
    </row>
    <row r="501" spans="1:7" x14ac:dyDescent="0.3">
      <c r="A501" s="17" t="str">
        <f t="shared" si="9"/>
        <v>Collation/Chips</v>
      </c>
      <c r="B501" s="28" t="s">
        <v>16</v>
      </c>
      <c r="C501" s="19" t="s">
        <v>226</v>
      </c>
      <c r="D501" s="19" t="s">
        <v>400</v>
      </c>
      <c r="E501" s="19" t="s">
        <v>24</v>
      </c>
      <c r="F501" s="31">
        <v>40</v>
      </c>
      <c r="G501" s="19" t="s">
        <v>80</v>
      </c>
    </row>
    <row r="502" spans="1:7" x14ac:dyDescent="0.3">
      <c r="A502" s="17" t="str">
        <f t="shared" si="9"/>
        <v>Collation/Céréales</v>
      </c>
      <c r="B502" s="28" t="s">
        <v>16</v>
      </c>
      <c r="C502" s="19" t="s">
        <v>197</v>
      </c>
      <c r="D502" s="19" t="s">
        <v>395</v>
      </c>
      <c r="E502" s="19" t="s">
        <v>19</v>
      </c>
      <c r="F502" s="31">
        <v>30</v>
      </c>
      <c r="G502" s="19" t="s">
        <v>80</v>
      </c>
    </row>
    <row r="503" spans="1:7" x14ac:dyDescent="0.3">
      <c r="A503" s="17" t="str">
        <f t="shared" si="9"/>
        <v>Collation/Céréales</v>
      </c>
      <c r="B503" s="28" t="s">
        <v>16</v>
      </c>
      <c r="C503" s="19" t="s">
        <v>197</v>
      </c>
      <c r="D503" s="19" t="s">
        <v>396</v>
      </c>
      <c r="E503" s="19" t="s">
        <v>19</v>
      </c>
      <c r="F503" s="31">
        <v>30</v>
      </c>
      <c r="G503" s="19" t="s">
        <v>80</v>
      </c>
    </row>
    <row r="504" spans="1:7" x14ac:dyDescent="0.3">
      <c r="A504" s="17" t="str">
        <f t="shared" si="9"/>
        <v>Collation/Carottes</v>
      </c>
      <c r="B504" s="28" t="s">
        <v>16</v>
      </c>
      <c r="C504" s="19" t="s">
        <v>408</v>
      </c>
      <c r="D504" s="19" t="s">
        <v>408</v>
      </c>
      <c r="E504" s="19" t="s">
        <v>26</v>
      </c>
      <c r="F504" s="31">
        <v>100</v>
      </c>
      <c r="G504" s="19" t="s">
        <v>80</v>
      </c>
    </row>
    <row r="505" spans="1:7" x14ac:dyDescent="0.3">
      <c r="A505" s="17" t="str">
        <f t="shared" si="9"/>
        <v>Collation/Cantaloup</v>
      </c>
      <c r="B505" s="28" t="s">
        <v>16</v>
      </c>
      <c r="C505" s="19" t="s">
        <v>198</v>
      </c>
      <c r="D505" s="19" t="s">
        <v>198</v>
      </c>
      <c r="E505" s="19" t="s">
        <v>26</v>
      </c>
      <c r="F505" s="31">
        <v>0.1</v>
      </c>
      <c r="G505" s="19" t="s">
        <v>18</v>
      </c>
    </row>
    <row r="506" spans="1:7" x14ac:dyDescent="0.3">
      <c r="A506" s="17" t="str">
        <f t="shared" si="9"/>
        <v>Collation/Brownies</v>
      </c>
      <c r="B506" s="28" t="s">
        <v>16</v>
      </c>
      <c r="C506" s="19" t="s">
        <v>202</v>
      </c>
      <c r="D506" s="19" t="s">
        <v>202</v>
      </c>
      <c r="E506" s="19" t="s">
        <v>24</v>
      </c>
      <c r="F506" s="31">
        <v>75</v>
      </c>
      <c r="G506" s="19" t="s">
        <v>22</v>
      </c>
    </row>
    <row r="507" spans="1:7" x14ac:dyDescent="0.3">
      <c r="A507" s="17" t="str">
        <f t="shared" si="9"/>
        <v>Collation/Brownies</v>
      </c>
      <c r="B507" s="28" t="s">
        <v>16</v>
      </c>
      <c r="C507" s="19" t="s">
        <v>202</v>
      </c>
      <c r="D507" s="19" t="s">
        <v>390</v>
      </c>
      <c r="E507" s="19" t="s">
        <v>24</v>
      </c>
      <c r="F507" s="31">
        <v>6</v>
      </c>
      <c r="G507" s="19" t="s">
        <v>83</v>
      </c>
    </row>
    <row r="508" spans="1:7" x14ac:dyDescent="0.3">
      <c r="A508" s="17" t="str">
        <f t="shared" si="9"/>
        <v>Collation/Biscuits Dad's</v>
      </c>
      <c r="B508" s="28" t="s">
        <v>16</v>
      </c>
      <c r="C508" s="19" t="s">
        <v>452</v>
      </c>
      <c r="D508" s="19" t="s">
        <v>452</v>
      </c>
      <c r="E508" s="19" t="s">
        <v>24</v>
      </c>
      <c r="F508" s="31">
        <v>2</v>
      </c>
      <c r="G508" s="19" t="s">
        <v>18</v>
      </c>
    </row>
    <row r="509" spans="1:7" x14ac:dyDescent="0.3">
      <c r="A509" s="17" t="str">
        <f t="shared" si="9"/>
        <v>Collation/Biscuits Dads</v>
      </c>
      <c r="B509" s="28" t="s">
        <v>16</v>
      </c>
      <c r="C509" s="19" t="s">
        <v>206</v>
      </c>
      <c r="D509" s="19" t="s">
        <v>206</v>
      </c>
      <c r="E509" s="19" t="s">
        <v>24</v>
      </c>
      <c r="F509" s="31">
        <v>1</v>
      </c>
      <c r="G509" s="19" t="s">
        <v>207</v>
      </c>
    </row>
    <row r="510" spans="1:7" x14ac:dyDescent="0.3">
      <c r="A510" s="17" t="str">
        <f t="shared" si="9"/>
        <v>Collation/Biscuits Dads</v>
      </c>
      <c r="B510" s="28" t="s">
        <v>16</v>
      </c>
      <c r="C510" s="19" t="s">
        <v>206</v>
      </c>
      <c r="D510" s="19" t="s">
        <v>469</v>
      </c>
      <c r="E510" s="19" t="s">
        <v>19</v>
      </c>
      <c r="F510" s="31">
        <v>1</v>
      </c>
      <c r="G510" s="19" t="s">
        <v>18</v>
      </c>
    </row>
    <row r="511" spans="1:7" x14ac:dyDescent="0.3">
      <c r="A511" s="17" t="str">
        <f t="shared" si="9"/>
        <v>Collation/Biscuits aux chocolats</v>
      </c>
      <c r="B511" s="28" t="s">
        <v>16</v>
      </c>
      <c r="C511" s="19" t="s">
        <v>448</v>
      </c>
      <c r="D511" s="19" t="s">
        <v>448</v>
      </c>
      <c r="E511" s="19" t="s">
        <v>24</v>
      </c>
      <c r="F511" s="31">
        <v>2</v>
      </c>
      <c r="G511" s="19" t="s">
        <v>18</v>
      </c>
    </row>
    <row r="512" spans="1:7" x14ac:dyDescent="0.3">
      <c r="A512" s="17" t="str">
        <f t="shared" si="9"/>
        <v>Collation/Biscuits</v>
      </c>
      <c r="B512" s="28" t="s">
        <v>16</v>
      </c>
      <c r="C512" s="19" t="s">
        <v>208</v>
      </c>
      <c r="D512" s="19" t="s">
        <v>208</v>
      </c>
      <c r="E512" s="19" t="s">
        <v>24</v>
      </c>
      <c r="F512" s="31">
        <v>2</v>
      </c>
      <c r="G512" s="19" t="s">
        <v>18</v>
      </c>
    </row>
    <row r="513" spans="1:7" x14ac:dyDescent="0.3">
      <c r="A513" s="17" t="str">
        <f t="shared" si="9"/>
        <v>Collation/Biscuits</v>
      </c>
      <c r="B513" s="28" t="s">
        <v>16</v>
      </c>
      <c r="C513" s="19" t="s">
        <v>208</v>
      </c>
      <c r="D513" s="19" t="s">
        <v>274</v>
      </c>
      <c r="E513" s="19" t="s">
        <v>24</v>
      </c>
      <c r="F513" s="31">
        <v>2</v>
      </c>
      <c r="G513" s="19" t="s">
        <v>18</v>
      </c>
    </row>
    <row r="514" spans="1:7" x14ac:dyDescent="0.3">
      <c r="A514" s="17" t="str">
        <f t="shared" si="9"/>
        <v>Collation/Biscuits</v>
      </c>
      <c r="B514" s="28" t="s">
        <v>16</v>
      </c>
      <c r="C514" s="19" t="s">
        <v>208</v>
      </c>
      <c r="D514" s="19" t="s">
        <v>280</v>
      </c>
      <c r="E514" s="19" t="s">
        <v>19</v>
      </c>
      <c r="F514" s="31">
        <v>1</v>
      </c>
      <c r="G514" s="19" t="s">
        <v>18</v>
      </c>
    </row>
    <row r="515" spans="1:7" x14ac:dyDescent="0.3">
      <c r="A515" s="17" t="str">
        <f t="shared" si="9"/>
        <v>Collation/Biscuits</v>
      </c>
      <c r="B515" s="28" t="s">
        <v>16</v>
      </c>
      <c r="C515" s="19" t="s">
        <v>208</v>
      </c>
      <c r="D515" s="19" t="s">
        <v>317</v>
      </c>
      <c r="E515" s="29" t="s">
        <v>24</v>
      </c>
      <c r="F515" s="31">
        <v>1</v>
      </c>
      <c r="G515" s="19" t="s">
        <v>318</v>
      </c>
    </row>
    <row r="516" spans="1:7" x14ac:dyDescent="0.3">
      <c r="A516" s="17" t="str">
        <f t="shared" si="9"/>
        <v>Collation/Biscuits</v>
      </c>
      <c r="B516" s="28" t="s">
        <v>16</v>
      </c>
      <c r="C516" s="19" t="s">
        <v>208</v>
      </c>
      <c r="D516" s="19" t="s">
        <v>324</v>
      </c>
      <c r="E516" s="29" t="s">
        <v>24</v>
      </c>
      <c r="F516" s="31">
        <v>1.5</v>
      </c>
      <c r="G516" s="19" t="s">
        <v>18</v>
      </c>
    </row>
    <row r="517" spans="1:7" x14ac:dyDescent="0.3">
      <c r="A517" s="17" t="str">
        <f t="shared" si="9"/>
        <v>Collation/Biscuits</v>
      </c>
      <c r="B517" s="28" t="s">
        <v>16</v>
      </c>
      <c r="C517" s="19" t="s">
        <v>208</v>
      </c>
      <c r="D517" s="19" t="s">
        <v>391</v>
      </c>
      <c r="E517" s="19" t="s">
        <v>24</v>
      </c>
      <c r="F517" s="31">
        <v>6</v>
      </c>
      <c r="G517" s="19" t="s">
        <v>83</v>
      </c>
    </row>
    <row r="518" spans="1:7" x14ac:dyDescent="0.3">
      <c r="A518" s="17" t="str">
        <f t="shared" si="9"/>
        <v>Collation/Biscuits</v>
      </c>
      <c r="B518" s="28" t="s">
        <v>16</v>
      </c>
      <c r="C518" s="19" t="s">
        <v>208</v>
      </c>
      <c r="D518" s="19" t="s">
        <v>392</v>
      </c>
      <c r="E518" s="19" t="s">
        <v>24</v>
      </c>
      <c r="F518" s="31">
        <v>4</v>
      </c>
      <c r="G518" s="19" t="s">
        <v>83</v>
      </c>
    </row>
    <row r="519" spans="1:7" x14ac:dyDescent="0.3">
      <c r="A519" s="17" t="str">
        <f t="shared" si="9"/>
        <v>Collation/Bébé carottes</v>
      </c>
      <c r="B519" s="28" t="s">
        <v>16</v>
      </c>
      <c r="C519" s="19" t="s">
        <v>142</v>
      </c>
      <c r="D519" s="19" t="s">
        <v>142</v>
      </c>
      <c r="E519" s="19" t="s">
        <v>26</v>
      </c>
      <c r="F519" s="31">
        <v>50</v>
      </c>
      <c r="G519" s="19" t="s">
        <v>22</v>
      </c>
    </row>
    <row r="520" spans="1:7" x14ac:dyDescent="0.3">
      <c r="A520" s="17" t="str">
        <f t="shared" si="9"/>
        <v>Collation/Barres Val Nature</v>
      </c>
      <c r="B520" s="28" t="s">
        <v>16</v>
      </c>
      <c r="C520" s="19" t="s">
        <v>432</v>
      </c>
      <c r="D520" s="19" t="s">
        <v>432</v>
      </c>
      <c r="E520" s="19" t="s">
        <v>24</v>
      </c>
      <c r="F520" s="31">
        <v>1</v>
      </c>
      <c r="G520" s="19" t="s">
        <v>18</v>
      </c>
    </row>
    <row r="521" spans="1:7" x14ac:dyDescent="0.3">
      <c r="A521" s="17" t="str">
        <f t="shared" si="9"/>
        <v>Collation/Barres protéinées</v>
      </c>
      <c r="B521" s="28" t="s">
        <v>16</v>
      </c>
      <c r="C521" s="19" t="s">
        <v>412</v>
      </c>
      <c r="D521" s="19" t="s">
        <v>412</v>
      </c>
      <c r="E521" s="19" t="s">
        <v>24</v>
      </c>
      <c r="F521" s="31">
        <v>1</v>
      </c>
      <c r="G521" s="19" t="s">
        <v>18</v>
      </c>
    </row>
    <row r="522" spans="1:7" x14ac:dyDescent="0.3">
      <c r="A522" s="17" t="str">
        <f t="shared" si="9"/>
        <v>Collation/Barre tendres</v>
      </c>
      <c r="B522" s="28" t="s">
        <v>16</v>
      </c>
      <c r="C522" s="19" t="s">
        <v>209</v>
      </c>
      <c r="D522" s="19" t="s">
        <v>209</v>
      </c>
      <c r="E522" s="19" t="s">
        <v>24</v>
      </c>
      <c r="F522" s="31">
        <v>1.5</v>
      </c>
      <c r="G522" s="19" t="s">
        <v>18</v>
      </c>
    </row>
    <row r="523" spans="1:7" x14ac:dyDescent="0.3">
      <c r="A523" s="17" t="str">
        <f t="shared" si="9"/>
        <v>Collation/Banane</v>
      </c>
      <c r="B523" s="28" t="s">
        <v>16</v>
      </c>
      <c r="C523" s="19" t="s">
        <v>210</v>
      </c>
      <c r="D523" s="19" t="s">
        <v>210</v>
      </c>
      <c r="E523" s="19" t="s">
        <v>26</v>
      </c>
      <c r="F523" s="31">
        <v>1</v>
      </c>
      <c r="G523" s="19" t="s">
        <v>18</v>
      </c>
    </row>
    <row r="524" spans="1:7" x14ac:dyDescent="0.3">
      <c r="A524" s="17" t="str">
        <f t="shared" si="9"/>
        <v>Collation/Amandes</v>
      </c>
      <c r="B524" s="28" t="s">
        <v>16</v>
      </c>
      <c r="C524" s="19" t="s">
        <v>450</v>
      </c>
      <c r="D524" s="19" t="s">
        <v>450</v>
      </c>
      <c r="E524" s="19" t="s">
        <v>24</v>
      </c>
      <c r="F524" s="31">
        <v>30</v>
      </c>
      <c r="G524" s="19" t="s">
        <v>80</v>
      </c>
    </row>
    <row r="525" spans="1:7" x14ac:dyDescent="0.3">
      <c r="A525" s="17" t="str">
        <f t="shared" si="9"/>
        <v>Collation/Ailes de poulet</v>
      </c>
      <c r="B525" s="28" t="s">
        <v>16</v>
      </c>
      <c r="C525" s="19" t="s">
        <v>215</v>
      </c>
      <c r="D525" s="19" t="s">
        <v>216</v>
      </c>
      <c r="E525" s="29" t="s">
        <v>506</v>
      </c>
      <c r="F525" s="31">
        <v>0.25</v>
      </c>
      <c r="G525" s="19" t="s">
        <v>217</v>
      </c>
    </row>
    <row r="526" spans="1:7" x14ac:dyDescent="0.3">
      <c r="A526"/>
      <c r="B526"/>
      <c r="C526"/>
      <c r="D526"/>
      <c r="E526"/>
      <c r="F526"/>
      <c r="G526"/>
    </row>
    <row r="527" spans="1:7" x14ac:dyDescent="0.3">
      <c r="A527"/>
      <c r="B527"/>
      <c r="C527"/>
      <c r="D527"/>
      <c r="E527"/>
      <c r="F527"/>
      <c r="G527"/>
    </row>
    <row r="528" spans="1:7" x14ac:dyDescent="0.3">
      <c r="A528"/>
      <c r="B528"/>
      <c r="C528"/>
      <c r="D528"/>
      <c r="E528"/>
      <c r="F528"/>
      <c r="G528"/>
    </row>
    <row r="529" spans="1:7" x14ac:dyDescent="0.3">
      <c r="A529"/>
      <c r="B529"/>
      <c r="C529"/>
      <c r="D529"/>
      <c r="E529"/>
      <c r="F529"/>
      <c r="G529"/>
    </row>
    <row r="530" spans="1:7" x14ac:dyDescent="0.3">
      <c r="A530"/>
      <c r="B530"/>
      <c r="C530"/>
      <c r="D530"/>
      <c r="E530"/>
      <c r="F530"/>
      <c r="G530"/>
    </row>
    <row r="531" spans="1:7" x14ac:dyDescent="0.3">
      <c r="A531"/>
      <c r="B531"/>
      <c r="C531"/>
      <c r="D531"/>
      <c r="E531"/>
      <c r="F531"/>
      <c r="G531"/>
    </row>
    <row r="532" spans="1:7" x14ac:dyDescent="0.3">
      <c r="A532"/>
      <c r="B532"/>
      <c r="C532"/>
      <c r="D532"/>
      <c r="E532"/>
      <c r="F532"/>
      <c r="G532"/>
    </row>
    <row r="533" spans="1:7" x14ac:dyDescent="0.3">
      <c r="A533"/>
      <c r="B533"/>
      <c r="C533"/>
      <c r="D533"/>
      <c r="E533"/>
      <c r="F533"/>
      <c r="G533"/>
    </row>
    <row r="534" spans="1:7" x14ac:dyDescent="0.3">
      <c r="A534"/>
      <c r="B534"/>
      <c r="C534"/>
      <c r="D534"/>
      <c r="E534"/>
      <c r="F534"/>
      <c r="G534"/>
    </row>
    <row r="535" spans="1:7" x14ac:dyDescent="0.3">
      <c r="A535"/>
      <c r="B535"/>
      <c r="C535"/>
      <c r="D535"/>
      <c r="E535"/>
      <c r="F535"/>
      <c r="G535"/>
    </row>
    <row r="536" spans="1:7" x14ac:dyDescent="0.3">
      <c r="A536"/>
      <c r="B536"/>
      <c r="C536"/>
      <c r="D536"/>
      <c r="E536"/>
      <c r="F536"/>
      <c r="G536"/>
    </row>
    <row r="537" spans="1:7" x14ac:dyDescent="0.3">
      <c r="A537"/>
      <c r="B537"/>
      <c r="C537"/>
      <c r="D537"/>
      <c r="E537"/>
      <c r="F537"/>
      <c r="G537"/>
    </row>
    <row r="538" spans="1:7" x14ac:dyDescent="0.3">
      <c r="A538"/>
      <c r="B538"/>
      <c r="C538"/>
      <c r="D538"/>
      <c r="E538"/>
      <c r="F538"/>
      <c r="G538"/>
    </row>
    <row r="539" spans="1:7" x14ac:dyDescent="0.3">
      <c r="A539"/>
      <c r="B539"/>
      <c r="C539"/>
      <c r="D539"/>
      <c r="E539"/>
      <c r="F539"/>
      <c r="G539"/>
    </row>
    <row r="540" spans="1:7" x14ac:dyDescent="0.3">
      <c r="A540"/>
      <c r="B540"/>
      <c r="C540"/>
      <c r="D540"/>
      <c r="E540"/>
      <c r="F540"/>
      <c r="G540"/>
    </row>
    <row r="541" spans="1:7" x14ac:dyDescent="0.3">
      <c r="A541"/>
      <c r="B541"/>
      <c r="C541"/>
      <c r="D541"/>
      <c r="E541"/>
      <c r="F541"/>
      <c r="G541"/>
    </row>
    <row r="542" spans="1:7" x14ac:dyDescent="0.3">
      <c r="A542"/>
      <c r="B542"/>
      <c r="C542"/>
      <c r="D542"/>
      <c r="E542"/>
      <c r="F542"/>
      <c r="G542"/>
    </row>
    <row r="543" spans="1:7" x14ac:dyDescent="0.3">
      <c r="A543"/>
      <c r="B543"/>
      <c r="C543"/>
      <c r="D543"/>
      <c r="E543"/>
      <c r="F543"/>
      <c r="G543"/>
    </row>
    <row r="544" spans="1:7" x14ac:dyDescent="0.3">
      <c r="A544"/>
      <c r="B544"/>
      <c r="C544"/>
      <c r="D544"/>
      <c r="E544"/>
      <c r="F544"/>
      <c r="G544"/>
    </row>
    <row r="545" spans="1:7" x14ac:dyDescent="0.3">
      <c r="A545"/>
      <c r="B545"/>
      <c r="C545"/>
      <c r="D545"/>
      <c r="E545"/>
      <c r="F545"/>
      <c r="G545"/>
    </row>
    <row r="546" spans="1:7" x14ac:dyDescent="0.3">
      <c r="A546"/>
      <c r="B546"/>
      <c r="C546"/>
      <c r="D546"/>
      <c r="E546"/>
      <c r="F546"/>
      <c r="G546"/>
    </row>
    <row r="547" spans="1:7" x14ac:dyDescent="0.3">
      <c r="A547"/>
      <c r="B547"/>
      <c r="C547"/>
      <c r="D547"/>
      <c r="E547"/>
      <c r="F547"/>
      <c r="G547"/>
    </row>
    <row r="548" spans="1:7" x14ac:dyDescent="0.3">
      <c r="A548"/>
      <c r="B548"/>
      <c r="C548"/>
      <c r="D548"/>
      <c r="E548"/>
      <c r="F548"/>
      <c r="G548"/>
    </row>
    <row r="549" spans="1:7" x14ac:dyDescent="0.3">
      <c r="A549"/>
      <c r="B549"/>
      <c r="C549"/>
      <c r="D549"/>
      <c r="E549"/>
      <c r="F549"/>
      <c r="G549"/>
    </row>
    <row r="550" spans="1:7" x14ac:dyDescent="0.3">
      <c r="A550"/>
      <c r="B550"/>
      <c r="C550"/>
      <c r="D550"/>
      <c r="E550"/>
      <c r="F550"/>
      <c r="G550"/>
    </row>
    <row r="551" spans="1:7" x14ac:dyDescent="0.3">
      <c r="A551"/>
      <c r="B551"/>
      <c r="C551"/>
      <c r="D551"/>
      <c r="E551"/>
      <c r="F551"/>
      <c r="G551"/>
    </row>
    <row r="552" spans="1:7" x14ac:dyDescent="0.3">
      <c r="A552"/>
      <c r="B552"/>
      <c r="C552"/>
      <c r="D552"/>
      <c r="E552"/>
      <c r="F552"/>
      <c r="G552"/>
    </row>
    <row r="553" spans="1:7" x14ac:dyDescent="0.3">
      <c r="A553"/>
      <c r="B553"/>
      <c r="C553"/>
      <c r="D553"/>
      <c r="E553"/>
      <c r="F553"/>
      <c r="G553"/>
    </row>
    <row r="554" spans="1:7" x14ac:dyDescent="0.3">
      <c r="A554"/>
      <c r="B554"/>
      <c r="C554"/>
      <c r="D554"/>
      <c r="E554"/>
      <c r="F554"/>
      <c r="G554"/>
    </row>
    <row r="555" spans="1:7" x14ac:dyDescent="0.3">
      <c r="A555"/>
      <c r="B555"/>
      <c r="C555"/>
      <c r="D555"/>
      <c r="E555"/>
      <c r="F555"/>
      <c r="G555"/>
    </row>
    <row r="556" spans="1:7" x14ac:dyDescent="0.3">
      <c r="A556"/>
      <c r="B556"/>
      <c r="C556"/>
      <c r="D556"/>
      <c r="E556"/>
      <c r="F556"/>
      <c r="G556"/>
    </row>
    <row r="557" spans="1:7" x14ac:dyDescent="0.3">
      <c r="A557"/>
      <c r="B557"/>
      <c r="C557"/>
      <c r="D557"/>
      <c r="E557"/>
      <c r="F557"/>
      <c r="G557"/>
    </row>
    <row r="558" spans="1:7" x14ac:dyDescent="0.3">
      <c r="A558"/>
      <c r="B558"/>
      <c r="C558"/>
      <c r="D558"/>
      <c r="E558"/>
      <c r="F558"/>
      <c r="G558"/>
    </row>
    <row r="559" spans="1:7" x14ac:dyDescent="0.3">
      <c r="A559"/>
      <c r="B559"/>
      <c r="C559"/>
      <c r="D559"/>
      <c r="E559"/>
      <c r="F559"/>
      <c r="G559"/>
    </row>
    <row r="560" spans="1:7" x14ac:dyDescent="0.3">
      <c r="A560"/>
      <c r="B560"/>
      <c r="C560"/>
      <c r="D560"/>
      <c r="E560"/>
      <c r="F560"/>
      <c r="G560"/>
    </row>
    <row r="561" spans="1:7" x14ac:dyDescent="0.3">
      <c r="A561"/>
      <c r="B561"/>
      <c r="C561"/>
      <c r="D561"/>
      <c r="E561"/>
      <c r="F561"/>
      <c r="G561"/>
    </row>
    <row r="562" spans="1:7" x14ac:dyDescent="0.3">
      <c r="A562"/>
      <c r="B562"/>
      <c r="C562"/>
      <c r="D562"/>
      <c r="E562"/>
      <c r="F562"/>
      <c r="G562"/>
    </row>
    <row r="563" spans="1:7" x14ac:dyDescent="0.3">
      <c r="A563"/>
      <c r="B563"/>
      <c r="C563"/>
      <c r="D563"/>
      <c r="E563"/>
      <c r="F563"/>
      <c r="G563"/>
    </row>
    <row r="564" spans="1:7" x14ac:dyDescent="0.3">
      <c r="A564"/>
      <c r="B564"/>
      <c r="C564"/>
      <c r="D564"/>
      <c r="E564"/>
      <c r="F564"/>
      <c r="G564"/>
    </row>
    <row r="565" spans="1:7" x14ac:dyDescent="0.3">
      <c r="A565"/>
      <c r="B565"/>
      <c r="C565"/>
      <c r="D565"/>
      <c r="E565"/>
      <c r="F565"/>
      <c r="G565"/>
    </row>
    <row r="566" spans="1:7" x14ac:dyDescent="0.3">
      <c r="A566"/>
      <c r="B566"/>
      <c r="C566"/>
      <c r="D566"/>
      <c r="E566"/>
      <c r="F566"/>
      <c r="G566"/>
    </row>
    <row r="567" spans="1:7" x14ac:dyDescent="0.3">
      <c r="A567"/>
      <c r="B567"/>
      <c r="C567"/>
      <c r="D567"/>
      <c r="E567"/>
      <c r="F567"/>
      <c r="G567"/>
    </row>
    <row r="568" spans="1:7" x14ac:dyDescent="0.3">
      <c r="A568"/>
      <c r="B568"/>
      <c r="C568"/>
      <c r="D568"/>
      <c r="E568"/>
      <c r="F568"/>
      <c r="G568"/>
    </row>
    <row r="569" spans="1:7" x14ac:dyDescent="0.3">
      <c r="A569"/>
      <c r="B569"/>
      <c r="C569"/>
      <c r="D569"/>
      <c r="E569"/>
      <c r="F569"/>
      <c r="G569"/>
    </row>
    <row r="570" spans="1:7" x14ac:dyDescent="0.3">
      <c r="A570"/>
      <c r="B570"/>
      <c r="C570"/>
      <c r="D570"/>
      <c r="E570"/>
      <c r="F570"/>
      <c r="G570"/>
    </row>
    <row r="571" spans="1:7" x14ac:dyDescent="0.3">
      <c r="A571"/>
      <c r="B571"/>
      <c r="C571"/>
      <c r="D571"/>
      <c r="E571"/>
      <c r="F571"/>
      <c r="G571"/>
    </row>
    <row r="572" spans="1:7" x14ac:dyDescent="0.3">
      <c r="A572"/>
      <c r="B572"/>
      <c r="C572"/>
      <c r="D572"/>
      <c r="E572"/>
      <c r="F572"/>
      <c r="G572"/>
    </row>
    <row r="573" spans="1:7" x14ac:dyDescent="0.3">
      <c r="A573"/>
      <c r="B573"/>
      <c r="C573"/>
      <c r="D573"/>
      <c r="E573"/>
      <c r="F573"/>
      <c r="G573"/>
    </row>
    <row r="574" spans="1:7" x14ac:dyDescent="0.3">
      <c r="A574"/>
      <c r="B574"/>
      <c r="C574"/>
      <c r="D574"/>
      <c r="E574"/>
      <c r="F574"/>
      <c r="G574"/>
    </row>
    <row r="575" spans="1:7" x14ac:dyDescent="0.3">
      <c r="A575"/>
      <c r="B575"/>
      <c r="C575"/>
      <c r="D575"/>
      <c r="E575"/>
      <c r="F575"/>
      <c r="G575"/>
    </row>
    <row r="576" spans="1:7" x14ac:dyDescent="0.3">
      <c r="A576"/>
      <c r="B576"/>
      <c r="C576"/>
      <c r="D576"/>
      <c r="E576"/>
      <c r="F576"/>
      <c r="G576"/>
    </row>
    <row r="577" spans="1:7" x14ac:dyDescent="0.3">
      <c r="A577"/>
      <c r="B577"/>
      <c r="C577"/>
      <c r="D577"/>
      <c r="E577"/>
      <c r="F577"/>
      <c r="G577"/>
    </row>
    <row r="578" spans="1:7" x14ac:dyDescent="0.3">
      <c r="A578"/>
      <c r="B578"/>
      <c r="C578"/>
      <c r="D578"/>
      <c r="E578"/>
      <c r="F578"/>
      <c r="G578"/>
    </row>
    <row r="579" spans="1:7" x14ac:dyDescent="0.3">
      <c r="A579"/>
      <c r="B579"/>
      <c r="C579"/>
      <c r="D579"/>
      <c r="E579"/>
      <c r="F579"/>
      <c r="G579"/>
    </row>
    <row r="580" spans="1:7" x14ac:dyDescent="0.3">
      <c r="A580"/>
      <c r="B580"/>
      <c r="C580"/>
      <c r="D580"/>
      <c r="E580"/>
      <c r="F580"/>
      <c r="G580"/>
    </row>
    <row r="581" spans="1:7" x14ac:dyDescent="0.3">
      <c r="A581"/>
      <c r="B581"/>
      <c r="C581"/>
      <c r="D581"/>
      <c r="E581"/>
      <c r="F581"/>
      <c r="G581"/>
    </row>
    <row r="582" spans="1:7" x14ac:dyDescent="0.3">
      <c r="A582"/>
      <c r="B582"/>
      <c r="C582"/>
      <c r="D582"/>
      <c r="E582"/>
      <c r="F582"/>
      <c r="G582"/>
    </row>
    <row r="583" spans="1:7" x14ac:dyDescent="0.3">
      <c r="A583"/>
      <c r="B583"/>
      <c r="C583"/>
      <c r="D583"/>
      <c r="E583"/>
      <c r="F583"/>
      <c r="G583"/>
    </row>
    <row r="584" spans="1:7" x14ac:dyDescent="0.3">
      <c r="A584"/>
      <c r="B584"/>
      <c r="C584"/>
      <c r="D584"/>
      <c r="E584"/>
      <c r="F584"/>
      <c r="G584"/>
    </row>
    <row r="585" spans="1:7" x14ac:dyDescent="0.3">
      <c r="A585"/>
      <c r="B585"/>
      <c r="C585"/>
      <c r="D585"/>
      <c r="E585"/>
      <c r="F585"/>
      <c r="G585"/>
    </row>
    <row r="586" spans="1:7" x14ac:dyDescent="0.3">
      <c r="A586"/>
      <c r="B586"/>
      <c r="C586"/>
      <c r="D586"/>
      <c r="E586"/>
      <c r="F586"/>
      <c r="G586"/>
    </row>
    <row r="587" spans="1:7" x14ac:dyDescent="0.3">
      <c r="A587"/>
      <c r="B587"/>
      <c r="C587"/>
      <c r="D587"/>
      <c r="E587"/>
      <c r="F587"/>
      <c r="G587"/>
    </row>
    <row r="588" spans="1:7" x14ac:dyDescent="0.3">
      <c r="A588"/>
      <c r="B588"/>
      <c r="C588"/>
      <c r="D588"/>
      <c r="E588"/>
      <c r="F588"/>
      <c r="G588"/>
    </row>
    <row r="589" spans="1:7" x14ac:dyDescent="0.3">
      <c r="A589"/>
      <c r="B589"/>
      <c r="C589"/>
      <c r="D589"/>
      <c r="E589"/>
      <c r="F589"/>
      <c r="G589"/>
    </row>
    <row r="590" spans="1:7" x14ac:dyDescent="0.3">
      <c r="A590"/>
      <c r="B590"/>
      <c r="C590"/>
      <c r="D590"/>
      <c r="E590"/>
      <c r="F590"/>
      <c r="G590"/>
    </row>
    <row r="591" spans="1:7" x14ac:dyDescent="0.3">
      <c r="A591"/>
      <c r="B591"/>
      <c r="C591"/>
      <c r="D591"/>
      <c r="E591"/>
      <c r="F591"/>
      <c r="G591"/>
    </row>
    <row r="592" spans="1:7" x14ac:dyDescent="0.3">
      <c r="A592"/>
      <c r="B592"/>
      <c r="C592"/>
      <c r="D592"/>
      <c r="E592"/>
      <c r="F592"/>
      <c r="G592"/>
    </row>
    <row r="593" spans="1:7" x14ac:dyDescent="0.3">
      <c r="A593"/>
      <c r="B593"/>
      <c r="C593"/>
      <c r="D593"/>
      <c r="E593"/>
      <c r="F593"/>
      <c r="G593"/>
    </row>
    <row r="594" spans="1:7" x14ac:dyDescent="0.3">
      <c r="A594"/>
      <c r="B594"/>
      <c r="C594"/>
      <c r="D594"/>
      <c r="E594"/>
      <c r="F594"/>
      <c r="G594"/>
    </row>
    <row r="595" spans="1:7" x14ac:dyDescent="0.3">
      <c r="A595"/>
      <c r="B595"/>
      <c r="C595"/>
      <c r="D595"/>
      <c r="E595"/>
      <c r="F595"/>
      <c r="G595"/>
    </row>
    <row r="596" spans="1:7" x14ac:dyDescent="0.3">
      <c r="A596"/>
      <c r="B596"/>
      <c r="C596"/>
      <c r="D596"/>
      <c r="E596"/>
      <c r="F596"/>
      <c r="G596"/>
    </row>
    <row r="597" spans="1:7" x14ac:dyDescent="0.3">
      <c r="A597"/>
      <c r="B597"/>
      <c r="C597"/>
      <c r="D597"/>
      <c r="E597"/>
      <c r="F597"/>
      <c r="G597"/>
    </row>
    <row r="598" spans="1:7" x14ac:dyDescent="0.3">
      <c r="A598"/>
      <c r="B598"/>
      <c r="C598"/>
      <c r="D598"/>
      <c r="E598"/>
      <c r="F598"/>
      <c r="G598"/>
    </row>
    <row r="599" spans="1:7" x14ac:dyDescent="0.3">
      <c r="A599"/>
      <c r="B599"/>
      <c r="C599"/>
      <c r="D599"/>
      <c r="E599"/>
      <c r="F599"/>
      <c r="G599"/>
    </row>
    <row r="600" spans="1:7" x14ac:dyDescent="0.3">
      <c r="A600"/>
      <c r="B600"/>
      <c r="C600"/>
      <c r="D600"/>
      <c r="E600"/>
      <c r="F600"/>
      <c r="G600"/>
    </row>
    <row r="601" spans="1:7" x14ac:dyDescent="0.3">
      <c r="A601"/>
      <c r="B601"/>
      <c r="C601"/>
      <c r="D601"/>
      <c r="E601"/>
      <c r="F601"/>
      <c r="G601"/>
    </row>
    <row r="602" spans="1:7" x14ac:dyDescent="0.3">
      <c r="A602"/>
      <c r="B602"/>
      <c r="C602"/>
      <c r="D602"/>
      <c r="E602"/>
      <c r="F602"/>
      <c r="G602"/>
    </row>
    <row r="603" spans="1:7" x14ac:dyDescent="0.3">
      <c r="A603"/>
      <c r="B603"/>
      <c r="C603"/>
      <c r="D603"/>
      <c r="E603"/>
      <c r="F603"/>
      <c r="G603"/>
    </row>
    <row r="604" spans="1:7" x14ac:dyDescent="0.3">
      <c r="A604"/>
      <c r="B604"/>
      <c r="C604"/>
      <c r="D604"/>
      <c r="E604"/>
      <c r="F604"/>
      <c r="G604"/>
    </row>
    <row r="605" spans="1:7" x14ac:dyDescent="0.3">
      <c r="A605"/>
      <c r="B605"/>
      <c r="C605"/>
      <c r="D605"/>
      <c r="E605"/>
      <c r="F605"/>
      <c r="G605"/>
    </row>
    <row r="606" spans="1:7" x14ac:dyDescent="0.3">
      <c r="A606"/>
      <c r="B606"/>
      <c r="C606"/>
      <c r="D606"/>
      <c r="E606"/>
      <c r="F606"/>
      <c r="G606"/>
    </row>
    <row r="607" spans="1:7" x14ac:dyDescent="0.3">
      <c r="A607"/>
      <c r="B607"/>
      <c r="C607"/>
      <c r="D607"/>
      <c r="E607"/>
      <c r="F607"/>
      <c r="G607"/>
    </row>
    <row r="608" spans="1:7" x14ac:dyDescent="0.3">
      <c r="A608"/>
      <c r="B608"/>
      <c r="C608"/>
      <c r="D608"/>
      <c r="E608"/>
      <c r="F608"/>
      <c r="G608"/>
    </row>
    <row r="609" spans="1:7" x14ac:dyDescent="0.3">
      <c r="A609"/>
      <c r="B609"/>
      <c r="C609"/>
      <c r="D609"/>
      <c r="E609"/>
      <c r="F609"/>
      <c r="G609"/>
    </row>
    <row r="610" spans="1:7" x14ac:dyDescent="0.3">
      <c r="A610"/>
      <c r="B610"/>
      <c r="C610"/>
      <c r="D610"/>
      <c r="E610"/>
      <c r="F610"/>
      <c r="G610"/>
    </row>
    <row r="611" spans="1:7" x14ac:dyDescent="0.3">
      <c r="A611"/>
      <c r="B611"/>
      <c r="C611"/>
      <c r="D611"/>
      <c r="E611"/>
      <c r="F611"/>
      <c r="G611"/>
    </row>
    <row r="612" spans="1:7" x14ac:dyDescent="0.3">
      <c r="A612"/>
      <c r="B612"/>
      <c r="C612"/>
      <c r="D612"/>
      <c r="E612"/>
      <c r="F612"/>
      <c r="G612"/>
    </row>
    <row r="613" spans="1:7" x14ac:dyDescent="0.3">
      <c r="A613"/>
      <c r="B613"/>
      <c r="C613"/>
      <c r="D613"/>
      <c r="E613"/>
      <c r="F613"/>
      <c r="G613"/>
    </row>
    <row r="614" spans="1:7" x14ac:dyDescent="0.3">
      <c r="A614"/>
      <c r="B614"/>
      <c r="C614"/>
      <c r="D614"/>
      <c r="E614"/>
      <c r="F614"/>
      <c r="G614"/>
    </row>
    <row r="615" spans="1:7" x14ac:dyDescent="0.3">
      <c r="A615"/>
      <c r="B615"/>
      <c r="C615"/>
      <c r="D615"/>
      <c r="E615"/>
      <c r="F615"/>
      <c r="G615"/>
    </row>
    <row r="616" spans="1:7" x14ac:dyDescent="0.3">
      <c r="A616"/>
      <c r="B616"/>
      <c r="C616"/>
      <c r="D616"/>
      <c r="E616"/>
      <c r="F616"/>
      <c r="G616"/>
    </row>
    <row r="617" spans="1:7" x14ac:dyDescent="0.3">
      <c r="A617"/>
      <c r="B617"/>
      <c r="C617"/>
      <c r="D617"/>
      <c r="E617"/>
      <c r="F617"/>
      <c r="G617"/>
    </row>
    <row r="618" spans="1:7" x14ac:dyDescent="0.3">
      <c r="A618"/>
      <c r="B618"/>
      <c r="C618"/>
      <c r="D618"/>
      <c r="E618"/>
      <c r="F618"/>
      <c r="G618"/>
    </row>
    <row r="619" spans="1:7" x14ac:dyDescent="0.3">
      <c r="A619"/>
      <c r="B619"/>
      <c r="C619"/>
      <c r="D619"/>
      <c r="E619"/>
      <c r="F619"/>
      <c r="G619"/>
    </row>
    <row r="620" spans="1:7" x14ac:dyDescent="0.3">
      <c r="A620"/>
      <c r="B620"/>
      <c r="C620"/>
      <c r="D620"/>
      <c r="E620"/>
      <c r="F620"/>
      <c r="G620"/>
    </row>
    <row r="621" spans="1:7" x14ac:dyDescent="0.3">
      <c r="A621"/>
      <c r="B621"/>
      <c r="C621"/>
      <c r="D621"/>
      <c r="E621"/>
      <c r="F621"/>
      <c r="G621"/>
    </row>
    <row r="622" spans="1:7" x14ac:dyDescent="0.3">
      <c r="A622"/>
      <c r="B622"/>
      <c r="C622"/>
      <c r="D622"/>
      <c r="E622"/>
      <c r="F622"/>
      <c r="G622"/>
    </row>
    <row r="623" spans="1:7" x14ac:dyDescent="0.3">
      <c r="A623"/>
      <c r="B623"/>
      <c r="C623"/>
      <c r="D623"/>
      <c r="E623"/>
      <c r="F623"/>
      <c r="G623"/>
    </row>
    <row r="624" spans="1:7" x14ac:dyDescent="0.3">
      <c r="A624"/>
      <c r="B624"/>
      <c r="C624"/>
      <c r="D624"/>
      <c r="E624"/>
      <c r="F624"/>
      <c r="G624"/>
    </row>
    <row r="625" spans="1:7" x14ac:dyDescent="0.3">
      <c r="A625"/>
      <c r="B625"/>
      <c r="C625"/>
      <c r="D625"/>
      <c r="E625"/>
      <c r="F625"/>
      <c r="G625"/>
    </row>
    <row r="626" spans="1:7" x14ac:dyDescent="0.3">
      <c r="A626"/>
      <c r="B626"/>
      <c r="C626"/>
      <c r="D626"/>
      <c r="E626"/>
      <c r="F626"/>
      <c r="G626"/>
    </row>
    <row r="627" spans="1:7" x14ac:dyDescent="0.3">
      <c r="A627"/>
      <c r="B627"/>
      <c r="C627"/>
      <c r="D627"/>
      <c r="E627"/>
      <c r="F627"/>
      <c r="G627"/>
    </row>
    <row r="628" spans="1:7" x14ac:dyDescent="0.3">
      <c r="A628"/>
      <c r="B628"/>
      <c r="C628"/>
      <c r="D628"/>
      <c r="E628"/>
      <c r="F628"/>
      <c r="G628"/>
    </row>
    <row r="629" spans="1:7" x14ac:dyDescent="0.3">
      <c r="A629"/>
      <c r="B629"/>
      <c r="C629"/>
      <c r="D629"/>
      <c r="E629"/>
      <c r="F629"/>
      <c r="G629"/>
    </row>
    <row r="630" spans="1:7" x14ac:dyDescent="0.3">
      <c r="A630"/>
      <c r="B630"/>
      <c r="C630"/>
      <c r="D630"/>
      <c r="E630"/>
      <c r="F630"/>
      <c r="G630"/>
    </row>
    <row r="631" spans="1:7" x14ac:dyDescent="0.3">
      <c r="A631"/>
      <c r="B631"/>
      <c r="C631"/>
      <c r="D631"/>
      <c r="E631"/>
      <c r="F631"/>
      <c r="G631"/>
    </row>
    <row r="632" spans="1:7" x14ac:dyDescent="0.3">
      <c r="A632"/>
      <c r="B632"/>
      <c r="C632"/>
      <c r="D632"/>
      <c r="E632"/>
      <c r="F632"/>
      <c r="G632"/>
    </row>
    <row r="633" spans="1:7" x14ac:dyDescent="0.3">
      <c r="A633"/>
      <c r="B633"/>
      <c r="C633"/>
      <c r="D633"/>
      <c r="E633"/>
      <c r="F633"/>
      <c r="G633"/>
    </row>
    <row r="634" spans="1:7" x14ac:dyDescent="0.3">
      <c r="A634"/>
      <c r="B634"/>
      <c r="C634"/>
      <c r="D634"/>
      <c r="E634"/>
      <c r="F634"/>
      <c r="G634"/>
    </row>
    <row r="635" spans="1:7" x14ac:dyDescent="0.3">
      <c r="A635"/>
      <c r="B635"/>
      <c r="C635"/>
      <c r="D635"/>
      <c r="E635"/>
      <c r="F635"/>
      <c r="G635"/>
    </row>
    <row r="636" spans="1:7" x14ac:dyDescent="0.3">
      <c r="A636"/>
      <c r="B636"/>
      <c r="C636"/>
      <c r="D636"/>
      <c r="E636"/>
      <c r="F636"/>
      <c r="G636"/>
    </row>
    <row r="637" spans="1:7" x14ac:dyDescent="0.3">
      <c r="A637"/>
      <c r="B637"/>
      <c r="C637"/>
      <c r="D637"/>
      <c r="E637"/>
      <c r="F637"/>
      <c r="G637"/>
    </row>
    <row r="638" spans="1:7" x14ac:dyDescent="0.3">
      <c r="A638"/>
      <c r="B638"/>
      <c r="C638"/>
      <c r="D638"/>
      <c r="E638"/>
      <c r="F638"/>
      <c r="G638"/>
    </row>
    <row r="639" spans="1:7" x14ac:dyDescent="0.3">
      <c r="A639"/>
      <c r="B639"/>
      <c r="C639"/>
      <c r="D639"/>
      <c r="E639"/>
      <c r="F639"/>
      <c r="G639"/>
    </row>
    <row r="640" spans="1:7" x14ac:dyDescent="0.3">
      <c r="A640"/>
      <c r="B640"/>
      <c r="C640"/>
      <c r="D640"/>
      <c r="E640"/>
      <c r="F640"/>
      <c r="G640"/>
    </row>
    <row r="641" spans="1:7" x14ac:dyDescent="0.3">
      <c r="A641"/>
      <c r="B641"/>
      <c r="C641"/>
      <c r="D641"/>
      <c r="E641"/>
      <c r="F641"/>
      <c r="G641"/>
    </row>
    <row r="642" spans="1:7" x14ac:dyDescent="0.3">
      <c r="A642"/>
      <c r="B642"/>
      <c r="C642"/>
      <c r="D642"/>
      <c r="E642"/>
      <c r="F642"/>
      <c r="G642"/>
    </row>
    <row r="643" spans="1:7" x14ac:dyDescent="0.3">
      <c r="A643"/>
      <c r="B643"/>
      <c r="C643"/>
      <c r="D643"/>
      <c r="E643"/>
      <c r="F643"/>
      <c r="G643"/>
    </row>
    <row r="644" spans="1:7" x14ac:dyDescent="0.3">
      <c r="A644"/>
      <c r="B644"/>
      <c r="C644"/>
      <c r="D644"/>
      <c r="E644"/>
      <c r="F644"/>
      <c r="G644"/>
    </row>
    <row r="645" spans="1:7" x14ac:dyDescent="0.3">
      <c r="A645"/>
      <c r="B645"/>
      <c r="C645"/>
      <c r="D645"/>
      <c r="E645"/>
      <c r="F645"/>
      <c r="G645"/>
    </row>
    <row r="646" spans="1:7" x14ac:dyDescent="0.3">
      <c r="A646"/>
      <c r="B646"/>
      <c r="C646"/>
      <c r="D646"/>
      <c r="E646"/>
      <c r="F646"/>
      <c r="G646"/>
    </row>
    <row r="647" spans="1:7" x14ac:dyDescent="0.3">
      <c r="A647"/>
      <c r="B647"/>
      <c r="C647"/>
      <c r="D647"/>
      <c r="E647"/>
      <c r="F647"/>
      <c r="G647"/>
    </row>
    <row r="648" spans="1:7" x14ac:dyDescent="0.3">
      <c r="A648"/>
      <c r="B648"/>
      <c r="C648"/>
      <c r="D648"/>
      <c r="E648"/>
      <c r="F648"/>
      <c r="G648"/>
    </row>
    <row r="649" spans="1:7" x14ac:dyDescent="0.3">
      <c r="A649"/>
      <c r="B649"/>
      <c r="C649"/>
      <c r="D649"/>
      <c r="E649"/>
      <c r="F649"/>
      <c r="G649"/>
    </row>
    <row r="650" spans="1:7" x14ac:dyDescent="0.3">
      <c r="A650"/>
      <c r="B650"/>
      <c r="C650"/>
      <c r="D650"/>
      <c r="E650"/>
      <c r="F650"/>
      <c r="G650"/>
    </row>
    <row r="651" spans="1:7" x14ac:dyDescent="0.3">
      <c r="A651"/>
      <c r="B651"/>
      <c r="C651"/>
      <c r="D651"/>
      <c r="E651"/>
      <c r="F651"/>
      <c r="G651"/>
    </row>
    <row r="652" spans="1:7" x14ac:dyDescent="0.3">
      <c r="A652"/>
      <c r="B652"/>
      <c r="C652"/>
      <c r="D652"/>
      <c r="E652"/>
      <c r="F652"/>
      <c r="G652"/>
    </row>
    <row r="653" spans="1:7" x14ac:dyDescent="0.3">
      <c r="A653"/>
      <c r="B653"/>
      <c r="C653"/>
      <c r="D653"/>
      <c r="E653"/>
      <c r="F653"/>
      <c r="G653"/>
    </row>
    <row r="654" spans="1:7" x14ac:dyDescent="0.3">
      <c r="A654"/>
      <c r="B654"/>
      <c r="C654"/>
      <c r="D654"/>
      <c r="E654"/>
      <c r="F654"/>
      <c r="G654"/>
    </row>
    <row r="655" spans="1:7" x14ac:dyDescent="0.3">
      <c r="A655"/>
      <c r="B655"/>
      <c r="C655"/>
      <c r="D655"/>
      <c r="E655"/>
      <c r="F655"/>
      <c r="G655"/>
    </row>
    <row r="656" spans="1:7" x14ac:dyDescent="0.3">
      <c r="A656"/>
      <c r="B656"/>
      <c r="C656"/>
      <c r="D656"/>
      <c r="E656"/>
      <c r="F656"/>
      <c r="G656"/>
    </row>
    <row r="657" spans="1:7" x14ac:dyDescent="0.3">
      <c r="A657"/>
      <c r="B657"/>
      <c r="C657"/>
      <c r="D657"/>
      <c r="E657"/>
      <c r="F657"/>
      <c r="G657"/>
    </row>
    <row r="658" spans="1:7" x14ac:dyDescent="0.3">
      <c r="A658"/>
      <c r="B658"/>
      <c r="C658"/>
      <c r="D658"/>
      <c r="E658"/>
      <c r="F658"/>
      <c r="G658"/>
    </row>
    <row r="659" spans="1:7" x14ac:dyDescent="0.3">
      <c r="A659"/>
      <c r="B659"/>
      <c r="C659"/>
      <c r="D659"/>
      <c r="E659"/>
      <c r="F659"/>
      <c r="G659"/>
    </row>
    <row r="660" spans="1:7" x14ac:dyDescent="0.3">
      <c r="A660"/>
      <c r="B660"/>
      <c r="C660"/>
      <c r="D660"/>
      <c r="E660"/>
      <c r="F660"/>
      <c r="G660"/>
    </row>
    <row r="661" spans="1:7" x14ac:dyDescent="0.3">
      <c r="A661"/>
      <c r="B661"/>
      <c r="C661"/>
      <c r="D661"/>
      <c r="E661"/>
      <c r="F661"/>
      <c r="G661"/>
    </row>
    <row r="662" spans="1:7" x14ac:dyDescent="0.3">
      <c r="A662"/>
      <c r="B662"/>
      <c r="C662"/>
      <c r="D662"/>
      <c r="E662"/>
      <c r="F662"/>
      <c r="G662"/>
    </row>
    <row r="663" spans="1:7" x14ac:dyDescent="0.3">
      <c r="A663"/>
      <c r="B663"/>
      <c r="C663"/>
      <c r="D663"/>
      <c r="E663"/>
      <c r="F663"/>
      <c r="G663"/>
    </row>
    <row r="664" spans="1:7" x14ac:dyDescent="0.3">
      <c r="A664"/>
      <c r="B664"/>
      <c r="C664"/>
      <c r="D664"/>
      <c r="E664"/>
      <c r="F664"/>
      <c r="G664"/>
    </row>
    <row r="665" spans="1:7" x14ac:dyDescent="0.3">
      <c r="A665"/>
      <c r="B665"/>
      <c r="C665"/>
      <c r="D665"/>
      <c r="E665"/>
      <c r="F665"/>
      <c r="G665"/>
    </row>
    <row r="666" spans="1:7" x14ac:dyDescent="0.3">
      <c r="A666"/>
      <c r="B666"/>
      <c r="C666"/>
      <c r="D666"/>
      <c r="E666"/>
      <c r="F666"/>
      <c r="G666"/>
    </row>
    <row r="667" spans="1:7" x14ac:dyDescent="0.3">
      <c r="A667"/>
      <c r="B667"/>
      <c r="C667"/>
      <c r="D667"/>
      <c r="E667"/>
      <c r="F667"/>
      <c r="G667"/>
    </row>
    <row r="668" spans="1:7" x14ac:dyDescent="0.3">
      <c r="A668"/>
      <c r="B668"/>
      <c r="C668"/>
      <c r="D668"/>
      <c r="E668"/>
      <c r="F668"/>
      <c r="G668"/>
    </row>
    <row r="669" spans="1:7" x14ac:dyDescent="0.3">
      <c r="A669"/>
      <c r="B669"/>
      <c r="C669"/>
      <c r="D669"/>
      <c r="E669"/>
      <c r="F669"/>
      <c r="G669"/>
    </row>
    <row r="670" spans="1:7" x14ac:dyDescent="0.3">
      <c r="A670"/>
      <c r="B670"/>
      <c r="C670"/>
      <c r="D670"/>
      <c r="E670"/>
      <c r="F670"/>
      <c r="G670"/>
    </row>
    <row r="671" spans="1:7" x14ac:dyDescent="0.3">
      <c r="A671"/>
      <c r="B671"/>
      <c r="C671"/>
      <c r="D671"/>
      <c r="E671"/>
      <c r="F671"/>
      <c r="G671"/>
    </row>
    <row r="672" spans="1:7" x14ac:dyDescent="0.3">
      <c r="A672"/>
      <c r="B672"/>
      <c r="C672"/>
      <c r="D672"/>
      <c r="E672"/>
      <c r="F672"/>
      <c r="G672"/>
    </row>
    <row r="673" spans="1:7" x14ac:dyDescent="0.3">
      <c r="A673"/>
      <c r="B673"/>
      <c r="C673"/>
      <c r="D673"/>
      <c r="E673"/>
      <c r="F673"/>
      <c r="G673"/>
    </row>
    <row r="674" spans="1:7" x14ac:dyDescent="0.3">
      <c r="A674"/>
      <c r="B674"/>
      <c r="C674"/>
      <c r="D674"/>
      <c r="E674"/>
      <c r="F674"/>
      <c r="G674"/>
    </row>
    <row r="675" spans="1:7" x14ac:dyDescent="0.3">
      <c r="A675"/>
      <c r="B675"/>
      <c r="C675"/>
      <c r="D675"/>
      <c r="E675"/>
      <c r="F675"/>
      <c r="G675"/>
    </row>
    <row r="676" spans="1:7" x14ac:dyDescent="0.3">
      <c r="A676"/>
      <c r="B676"/>
      <c r="C676"/>
      <c r="D676"/>
      <c r="E676"/>
      <c r="F676"/>
      <c r="G676"/>
    </row>
    <row r="677" spans="1:7" x14ac:dyDescent="0.3">
      <c r="A677"/>
      <c r="B677"/>
      <c r="C677"/>
      <c r="D677"/>
      <c r="E677"/>
      <c r="F677"/>
      <c r="G677"/>
    </row>
    <row r="678" spans="1:7" x14ac:dyDescent="0.3">
      <c r="A678"/>
      <c r="B678"/>
      <c r="C678"/>
      <c r="D678"/>
      <c r="E678"/>
      <c r="F678"/>
      <c r="G678"/>
    </row>
    <row r="679" spans="1:7" x14ac:dyDescent="0.3">
      <c r="A679"/>
      <c r="B679"/>
      <c r="C679"/>
      <c r="D679"/>
      <c r="E679"/>
      <c r="F679"/>
      <c r="G679"/>
    </row>
    <row r="680" spans="1:7" x14ac:dyDescent="0.3">
      <c r="A680"/>
      <c r="B680"/>
      <c r="C680"/>
      <c r="D680"/>
      <c r="E680"/>
      <c r="F680"/>
      <c r="G680"/>
    </row>
    <row r="681" spans="1:7" x14ac:dyDescent="0.3">
      <c r="A681"/>
      <c r="B681"/>
      <c r="C681"/>
      <c r="D681"/>
      <c r="E681"/>
      <c r="F681"/>
      <c r="G681"/>
    </row>
    <row r="682" spans="1:7" x14ac:dyDescent="0.3">
      <c r="A682"/>
      <c r="B682"/>
      <c r="C682"/>
      <c r="D682"/>
      <c r="E682"/>
      <c r="F682"/>
      <c r="G682"/>
    </row>
    <row r="683" spans="1:7" x14ac:dyDescent="0.3">
      <c r="A683"/>
      <c r="B683"/>
      <c r="C683"/>
      <c r="D683"/>
      <c r="E683"/>
      <c r="F683"/>
      <c r="G683"/>
    </row>
    <row r="684" spans="1:7" x14ac:dyDescent="0.3">
      <c r="A684"/>
      <c r="B684"/>
      <c r="C684"/>
      <c r="D684"/>
      <c r="E684"/>
      <c r="F684"/>
      <c r="G684"/>
    </row>
    <row r="685" spans="1:7" x14ac:dyDescent="0.3">
      <c r="A685"/>
      <c r="B685"/>
      <c r="C685"/>
      <c r="D685"/>
      <c r="E685"/>
      <c r="F685"/>
      <c r="G685"/>
    </row>
    <row r="686" spans="1:7" x14ac:dyDescent="0.3">
      <c r="A686"/>
      <c r="B686"/>
      <c r="C686"/>
      <c r="D686"/>
      <c r="E686"/>
      <c r="F686"/>
      <c r="G686"/>
    </row>
    <row r="687" spans="1:7" x14ac:dyDescent="0.3">
      <c r="A687"/>
      <c r="B687"/>
      <c r="C687"/>
      <c r="D687"/>
      <c r="E687"/>
      <c r="F687"/>
      <c r="G687"/>
    </row>
    <row r="688" spans="1:7" x14ac:dyDescent="0.3">
      <c r="A688"/>
      <c r="B688"/>
      <c r="C688"/>
      <c r="D688"/>
      <c r="E688"/>
      <c r="F688"/>
      <c r="G688"/>
    </row>
    <row r="689" spans="1:7" x14ac:dyDescent="0.3">
      <c r="A689"/>
      <c r="B689"/>
      <c r="C689"/>
      <c r="D689"/>
      <c r="E689"/>
      <c r="F689"/>
      <c r="G689"/>
    </row>
    <row r="690" spans="1:7" x14ac:dyDescent="0.3">
      <c r="A690"/>
      <c r="B690"/>
      <c r="C690"/>
      <c r="D690"/>
      <c r="E690"/>
      <c r="F690"/>
      <c r="G690"/>
    </row>
    <row r="691" spans="1:7" x14ac:dyDescent="0.3">
      <c r="A691"/>
      <c r="B691"/>
      <c r="C691"/>
      <c r="D691"/>
      <c r="E691"/>
      <c r="F691"/>
      <c r="G691"/>
    </row>
    <row r="692" spans="1:7" x14ac:dyDescent="0.3">
      <c r="A692"/>
      <c r="B692"/>
      <c r="C692"/>
      <c r="D692"/>
      <c r="E692"/>
      <c r="F692"/>
      <c r="G692"/>
    </row>
    <row r="693" spans="1:7" x14ac:dyDescent="0.3">
      <c r="A693"/>
      <c r="B693"/>
      <c r="C693"/>
      <c r="D693"/>
      <c r="E693"/>
      <c r="F693"/>
      <c r="G693"/>
    </row>
    <row r="694" spans="1:7" x14ac:dyDescent="0.3">
      <c r="A694"/>
      <c r="B694"/>
      <c r="C694"/>
      <c r="D694"/>
      <c r="E694"/>
      <c r="F694"/>
      <c r="G694"/>
    </row>
    <row r="695" spans="1:7" x14ac:dyDescent="0.3">
      <c r="A695"/>
      <c r="B695"/>
      <c r="C695"/>
      <c r="D695"/>
      <c r="E695"/>
      <c r="F695"/>
      <c r="G695"/>
    </row>
    <row r="696" spans="1:7" x14ac:dyDescent="0.3">
      <c r="A696"/>
      <c r="B696"/>
      <c r="C696"/>
      <c r="D696"/>
      <c r="E696"/>
      <c r="F696"/>
      <c r="G696"/>
    </row>
    <row r="697" spans="1:7" x14ac:dyDescent="0.3">
      <c r="A697"/>
      <c r="B697"/>
      <c r="C697"/>
      <c r="D697"/>
      <c r="E697"/>
      <c r="F697"/>
      <c r="G697"/>
    </row>
    <row r="698" spans="1:7" x14ac:dyDescent="0.3">
      <c r="A698"/>
      <c r="B698"/>
      <c r="C698"/>
      <c r="D698"/>
      <c r="E698"/>
      <c r="F698"/>
      <c r="G698"/>
    </row>
    <row r="699" spans="1:7" x14ac:dyDescent="0.3">
      <c r="A699"/>
      <c r="B699"/>
      <c r="C699"/>
      <c r="D699"/>
      <c r="E699"/>
      <c r="F699"/>
      <c r="G699"/>
    </row>
    <row r="700" spans="1:7" x14ac:dyDescent="0.3">
      <c r="A700"/>
      <c r="B700"/>
      <c r="C700"/>
      <c r="D700"/>
      <c r="E700"/>
      <c r="F700"/>
      <c r="G700"/>
    </row>
    <row r="701" spans="1:7" x14ac:dyDescent="0.3">
      <c r="A701"/>
      <c r="B701"/>
      <c r="C701"/>
      <c r="D701"/>
      <c r="E701"/>
      <c r="F701"/>
      <c r="G701"/>
    </row>
    <row r="702" spans="1:7" x14ac:dyDescent="0.3">
      <c r="A702"/>
      <c r="B702"/>
      <c r="C702"/>
      <c r="D702"/>
      <c r="E702"/>
      <c r="F702"/>
      <c r="G702"/>
    </row>
    <row r="703" spans="1:7" x14ac:dyDescent="0.3">
      <c r="A703"/>
      <c r="B703"/>
      <c r="C703"/>
      <c r="D703"/>
      <c r="E703"/>
      <c r="F703"/>
      <c r="G703"/>
    </row>
    <row r="704" spans="1:7" x14ac:dyDescent="0.3">
      <c r="A704"/>
      <c r="B704"/>
      <c r="C704"/>
      <c r="D704"/>
      <c r="E704"/>
      <c r="F704"/>
      <c r="G704"/>
    </row>
    <row r="705" spans="1:7" x14ac:dyDescent="0.3">
      <c r="A705"/>
      <c r="B705"/>
      <c r="C705"/>
      <c r="D705"/>
      <c r="E705"/>
      <c r="F705"/>
      <c r="G705"/>
    </row>
    <row r="706" spans="1:7" x14ac:dyDescent="0.3">
      <c r="A706"/>
      <c r="B706"/>
      <c r="C706"/>
      <c r="D706"/>
      <c r="E706"/>
      <c r="F706"/>
      <c r="G706"/>
    </row>
    <row r="707" spans="1:7" x14ac:dyDescent="0.3">
      <c r="A707"/>
      <c r="B707"/>
      <c r="C707"/>
      <c r="D707"/>
      <c r="E707"/>
      <c r="F707"/>
      <c r="G707"/>
    </row>
    <row r="708" spans="1:7" x14ac:dyDescent="0.3">
      <c r="A708"/>
      <c r="B708"/>
      <c r="C708"/>
      <c r="D708"/>
      <c r="E708"/>
      <c r="F708"/>
      <c r="G708"/>
    </row>
    <row r="709" spans="1:7" x14ac:dyDescent="0.3">
      <c r="A709"/>
      <c r="B709"/>
      <c r="C709"/>
      <c r="D709"/>
      <c r="E709"/>
      <c r="F709"/>
      <c r="G709"/>
    </row>
    <row r="710" spans="1:7" x14ac:dyDescent="0.3">
      <c r="A710"/>
      <c r="B710"/>
      <c r="C710"/>
      <c r="D710"/>
      <c r="E710"/>
      <c r="F710"/>
      <c r="G710"/>
    </row>
    <row r="711" spans="1:7" x14ac:dyDescent="0.3">
      <c r="A711"/>
      <c r="B711"/>
      <c r="C711"/>
      <c r="D711"/>
      <c r="E711"/>
      <c r="F711"/>
      <c r="G711"/>
    </row>
    <row r="712" spans="1:7" x14ac:dyDescent="0.3">
      <c r="A712"/>
      <c r="B712"/>
      <c r="C712"/>
      <c r="D712"/>
      <c r="E712"/>
      <c r="F712"/>
      <c r="G712"/>
    </row>
    <row r="713" spans="1:7" x14ac:dyDescent="0.3">
      <c r="A713"/>
      <c r="B713"/>
      <c r="C713"/>
      <c r="D713"/>
      <c r="E713"/>
      <c r="F713"/>
      <c r="G713"/>
    </row>
    <row r="714" spans="1:7" x14ac:dyDescent="0.3">
      <c r="A714"/>
      <c r="B714"/>
      <c r="C714"/>
      <c r="D714"/>
      <c r="E714"/>
      <c r="F714"/>
      <c r="G714"/>
    </row>
    <row r="715" spans="1:7" x14ac:dyDescent="0.3">
      <c r="A715"/>
      <c r="B715"/>
      <c r="C715"/>
      <c r="D715"/>
      <c r="E715"/>
      <c r="F715"/>
      <c r="G715"/>
    </row>
    <row r="716" spans="1:7" x14ac:dyDescent="0.3">
      <c r="A716"/>
      <c r="B716"/>
      <c r="C716"/>
      <c r="D716"/>
      <c r="E716"/>
      <c r="F716"/>
      <c r="G716"/>
    </row>
    <row r="717" spans="1:7" x14ac:dyDescent="0.3">
      <c r="A717"/>
      <c r="B717"/>
      <c r="C717"/>
      <c r="D717"/>
      <c r="E717"/>
      <c r="F717"/>
      <c r="G717"/>
    </row>
    <row r="718" spans="1:7" x14ac:dyDescent="0.3">
      <c r="A718"/>
      <c r="B718"/>
      <c r="C718"/>
      <c r="D718"/>
      <c r="E718"/>
      <c r="F718"/>
      <c r="G718"/>
    </row>
    <row r="719" spans="1:7" x14ac:dyDescent="0.3">
      <c r="A719"/>
      <c r="B719"/>
      <c r="C719"/>
      <c r="D719"/>
      <c r="E719"/>
      <c r="F719"/>
      <c r="G719"/>
    </row>
    <row r="720" spans="1:7" x14ac:dyDescent="0.3">
      <c r="A720"/>
      <c r="B720"/>
      <c r="C720"/>
      <c r="D720"/>
      <c r="E720"/>
      <c r="F720"/>
      <c r="G720"/>
    </row>
    <row r="721" spans="1:7" x14ac:dyDescent="0.3">
      <c r="A721"/>
      <c r="B721"/>
      <c r="C721"/>
      <c r="D721"/>
      <c r="E721"/>
      <c r="F721"/>
      <c r="G721"/>
    </row>
    <row r="722" spans="1:7" x14ac:dyDescent="0.3">
      <c r="A722"/>
      <c r="B722"/>
      <c r="C722"/>
      <c r="D722"/>
      <c r="E722"/>
      <c r="F722"/>
      <c r="G722"/>
    </row>
    <row r="723" spans="1:7" x14ac:dyDescent="0.3">
      <c r="A723"/>
      <c r="B723"/>
      <c r="C723"/>
      <c r="D723"/>
      <c r="E723"/>
      <c r="F723"/>
      <c r="G723"/>
    </row>
    <row r="724" spans="1:7" x14ac:dyDescent="0.3">
      <c r="A724"/>
      <c r="B724"/>
      <c r="C724"/>
      <c r="D724"/>
      <c r="E724"/>
      <c r="F724"/>
      <c r="G724"/>
    </row>
    <row r="725" spans="1:7" x14ac:dyDescent="0.3">
      <c r="A725"/>
      <c r="B725"/>
      <c r="C725"/>
      <c r="D725"/>
      <c r="E725"/>
      <c r="F725"/>
      <c r="G725"/>
    </row>
    <row r="726" spans="1:7" x14ac:dyDescent="0.3">
      <c r="A726"/>
      <c r="B726"/>
      <c r="C726"/>
      <c r="D726"/>
      <c r="E726"/>
      <c r="F726"/>
      <c r="G726"/>
    </row>
    <row r="727" spans="1:7" x14ac:dyDescent="0.3">
      <c r="A727"/>
      <c r="B727"/>
      <c r="C727"/>
      <c r="D727"/>
      <c r="E727"/>
      <c r="F727"/>
      <c r="G727"/>
    </row>
    <row r="728" spans="1:7" x14ac:dyDescent="0.3">
      <c r="A728"/>
      <c r="B728"/>
      <c r="C728"/>
      <c r="D728"/>
      <c r="E728"/>
      <c r="F728"/>
      <c r="G728"/>
    </row>
    <row r="729" spans="1:7" x14ac:dyDescent="0.3">
      <c r="A729"/>
      <c r="B729"/>
      <c r="C729"/>
      <c r="D729"/>
      <c r="E729"/>
      <c r="F729"/>
      <c r="G729"/>
    </row>
    <row r="730" spans="1:7" x14ac:dyDescent="0.3">
      <c r="A730"/>
      <c r="B730"/>
      <c r="C730"/>
      <c r="D730"/>
      <c r="E730"/>
      <c r="F730"/>
      <c r="G730"/>
    </row>
    <row r="731" spans="1:7" x14ac:dyDescent="0.3">
      <c r="A731"/>
      <c r="B731"/>
      <c r="C731"/>
      <c r="D731"/>
      <c r="E731"/>
      <c r="F731"/>
      <c r="G731"/>
    </row>
    <row r="732" spans="1:7" x14ac:dyDescent="0.3">
      <c r="A732"/>
      <c r="B732"/>
      <c r="C732"/>
      <c r="D732"/>
      <c r="E732"/>
      <c r="F732"/>
      <c r="G732"/>
    </row>
    <row r="733" spans="1:7" x14ac:dyDescent="0.3">
      <c r="A733"/>
      <c r="B733"/>
      <c r="C733"/>
      <c r="D733"/>
      <c r="E733"/>
      <c r="F733"/>
      <c r="G733"/>
    </row>
    <row r="734" spans="1:7" x14ac:dyDescent="0.3">
      <c r="A734"/>
      <c r="B734"/>
      <c r="C734"/>
      <c r="D734"/>
      <c r="E734"/>
      <c r="F734"/>
      <c r="G734"/>
    </row>
    <row r="735" spans="1:7" x14ac:dyDescent="0.3">
      <c r="A735"/>
      <c r="B735"/>
      <c r="C735"/>
      <c r="D735"/>
      <c r="E735"/>
      <c r="F735"/>
      <c r="G735"/>
    </row>
    <row r="736" spans="1:7" x14ac:dyDescent="0.3">
      <c r="A736"/>
      <c r="B736"/>
      <c r="C736"/>
      <c r="D736"/>
      <c r="E736"/>
      <c r="F736"/>
      <c r="G736"/>
    </row>
    <row r="737" spans="1:7" x14ac:dyDescent="0.3">
      <c r="A737"/>
      <c r="B737"/>
      <c r="C737"/>
      <c r="D737"/>
      <c r="E737"/>
      <c r="F737"/>
      <c r="G737"/>
    </row>
    <row r="738" spans="1:7" x14ac:dyDescent="0.3">
      <c r="A738"/>
      <c r="B738"/>
      <c r="C738"/>
      <c r="D738"/>
      <c r="E738"/>
      <c r="F738"/>
      <c r="G738"/>
    </row>
    <row r="739" spans="1:7" x14ac:dyDescent="0.3">
      <c r="A739"/>
      <c r="B739"/>
      <c r="C739"/>
      <c r="D739"/>
      <c r="E739"/>
      <c r="F739"/>
      <c r="G739"/>
    </row>
    <row r="740" spans="1:7" x14ac:dyDescent="0.3">
      <c r="A740"/>
      <c r="B740"/>
      <c r="C740"/>
      <c r="D740"/>
      <c r="E740"/>
      <c r="F740"/>
      <c r="G740"/>
    </row>
    <row r="741" spans="1:7" x14ac:dyDescent="0.3">
      <c r="A741"/>
      <c r="B741"/>
      <c r="C741"/>
      <c r="D741"/>
      <c r="E741"/>
      <c r="F741"/>
      <c r="G741"/>
    </row>
    <row r="742" spans="1:7" x14ac:dyDescent="0.3">
      <c r="A742"/>
      <c r="B742"/>
      <c r="C742"/>
      <c r="D742"/>
      <c r="E742"/>
      <c r="F742"/>
      <c r="G742"/>
    </row>
    <row r="743" spans="1:7" x14ac:dyDescent="0.3">
      <c r="A743"/>
      <c r="B743"/>
      <c r="C743"/>
      <c r="D743"/>
      <c r="E743"/>
      <c r="F743"/>
      <c r="G743"/>
    </row>
  </sheetData>
  <autoFilter ref="A1:G525" xr:uid="{00000000-0009-0000-0000-000001000000}">
    <sortState xmlns:xlrd2="http://schemas.microsoft.com/office/spreadsheetml/2017/richdata2" ref="A2:G525">
      <sortCondition ref="B1:B525"/>
    </sortState>
  </autoFilter>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1:G525"/>
  <sheetViews>
    <sheetView showGridLines="0" workbookViewId="0">
      <selection activeCell="C3" sqref="C3"/>
    </sheetView>
  </sheetViews>
  <sheetFormatPr defaultColWidth="8.77734375" defaultRowHeight="22.5" customHeight="1" x14ac:dyDescent="0.3"/>
  <cols>
    <col min="1" max="1" width="14.21875" style="2" customWidth="1"/>
    <col min="2" max="2" width="22" style="3" customWidth="1"/>
    <col min="3" max="3" width="17" style="2" customWidth="1"/>
    <col min="4" max="5" width="8.77734375" style="2"/>
    <col min="6" max="6" width="47.77734375" style="2" bestFit="1" customWidth="1"/>
    <col min="7" max="16384" width="8.77734375" style="2"/>
  </cols>
  <sheetData>
    <row r="1" spans="1:7" ht="22.5" customHeight="1" x14ac:dyDescent="0.3">
      <c r="A1" s="69" t="s">
        <v>4</v>
      </c>
      <c r="B1" s="69" t="s">
        <v>1</v>
      </c>
      <c r="C1" s="69" t="s">
        <v>5</v>
      </c>
      <c r="F1" s="69" t="s">
        <v>507</v>
      </c>
    </row>
    <row r="2" spans="1:7" ht="22.5" customHeight="1" x14ac:dyDescent="0.3">
      <c r="A2" s="67">
        <v>0</v>
      </c>
      <c r="B2" s="70" t="s">
        <v>497</v>
      </c>
      <c r="C2" s="67">
        <v>31</v>
      </c>
      <c r="F2" s="67" t="s">
        <v>26</v>
      </c>
    </row>
    <row r="3" spans="1:7" ht="22.5" customHeight="1" x14ac:dyDescent="0.3">
      <c r="A3" s="67">
        <v>1</v>
      </c>
      <c r="B3" s="70">
        <v>45656</v>
      </c>
      <c r="C3" s="67">
        <f>$C$2</f>
        <v>31</v>
      </c>
      <c r="F3" s="67" t="s">
        <v>19</v>
      </c>
    </row>
    <row r="4" spans="1:7" ht="22.5" customHeight="1" x14ac:dyDescent="0.3">
      <c r="A4" s="67">
        <v>2</v>
      </c>
      <c r="B4" s="70">
        <f>B3+1</f>
        <v>45657</v>
      </c>
      <c r="C4" s="67">
        <f t="shared" ref="C4:C7" si="0">$C$2</f>
        <v>31</v>
      </c>
      <c r="F4" s="67" t="s">
        <v>14</v>
      </c>
    </row>
    <row r="5" spans="1:7" ht="22.5" customHeight="1" x14ac:dyDescent="0.3">
      <c r="A5" s="67">
        <v>3</v>
      </c>
      <c r="B5" s="70">
        <f t="shared" ref="B5:B8" si="1">B4+1</f>
        <v>45658</v>
      </c>
      <c r="C5" s="67">
        <f t="shared" si="0"/>
        <v>31</v>
      </c>
      <c r="F5" s="67" t="s">
        <v>24</v>
      </c>
    </row>
    <row r="6" spans="1:7" ht="22.5" customHeight="1" x14ac:dyDescent="0.3">
      <c r="A6" s="67">
        <v>4</v>
      </c>
      <c r="B6" s="70">
        <f t="shared" si="1"/>
        <v>45659</v>
      </c>
      <c r="C6" s="67">
        <v>96</v>
      </c>
      <c r="F6" s="67" t="s">
        <v>21</v>
      </c>
    </row>
    <row r="7" spans="1:7" ht="22.5" customHeight="1" x14ac:dyDescent="0.3">
      <c r="A7" s="67">
        <v>5</v>
      </c>
      <c r="B7" s="70">
        <f t="shared" si="1"/>
        <v>45660</v>
      </c>
      <c r="C7" s="67">
        <f t="shared" si="0"/>
        <v>31</v>
      </c>
      <c r="F7" s="68"/>
      <c r="G7" s="32" t="s">
        <v>508</v>
      </c>
    </row>
    <row r="8" spans="1:7" ht="22.5" customHeight="1" x14ac:dyDescent="0.3">
      <c r="A8" s="67">
        <v>6</v>
      </c>
      <c r="B8" s="70">
        <f t="shared" si="1"/>
        <v>45661</v>
      </c>
      <c r="C8" s="67">
        <f>$C$2</f>
        <v>31</v>
      </c>
      <c r="F8" s="68"/>
    </row>
    <row r="9" spans="1:7" ht="22.5" customHeight="1" x14ac:dyDescent="0.3">
      <c r="B9" s="2"/>
      <c r="F9"/>
    </row>
    <row r="10" spans="1:7" ht="22.5" customHeight="1" x14ac:dyDescent="0.3">
      <c r="F10"/>
    </row>
    <row r="11" spans="1:7" ht="22.5" customHeight="1" x14ac:dyDescent="0.3">
      <c r="F11"/>
    </row>
    <row r="12" spans="1:7" ht="22.5" customHeight="1" x14ac:dyDescent="0.3">
      <c r="F12"/>
    </row>
    <row r="13" spans="1:7" ht="22.5" customHeight="1" x14ac:dyDescent="0.3">
      <c r="F13"/>
    </row>
    <row r="14" spans="1:7" ht="22.5" customHeight="1" x14ac:dyDescent="0.3">
      <c r="F14"/>
    </row>
    <row r="15" spans="1:7" ht="22.5" customHeight="1" x14ac:dyDescent="0.3">
      <c r="F15"/>
    </row>
    <row r="16" spans="1:7" ht="22.5" customHeight="1" x14ac:dyDescent="0.3">
      <c r="F16"/>
    </row>
    <row r="17" spans="6:6" ht="22.5" customHeight="1" x14ac:dyDescent="0.3">
      <c r="F17"/>
    </row>
    <row r="18" spans="6:6" ht="22.5" customHeight="1" x14ac:dyDescent="0.3">
      <c r="F18"/>
    </row>
    <row r="19" spans="6:6" ht="22.5" customHeight="1" x14ac:dyDescent="0.3">
      <c r="F19"/>
    </row>
    <row r="20" spans="6:6" ht="22.5" customHeight="1" x14ac:dyDescent="0.3">
      <c r="F20"/>
    </row>
    <row r="21" spans="6:6" ht="22.5" customHeight="1" x14ac:dyDescent="0.3">
      <c r="F21"/>
    </row>
    <row r="22" spans="6:6" ht="22.5" customHeight="1" x14ac:dyDescent="0.3">
      <c r="F22"/>
    </row>
    <row r="23" spans="6:6" ht="22.5" customHeight="1" x14ac:dyDescent="0.3">
      <c r="F23"/>
    </row>
    <row r="24" spans="6:6" ht="22.5" customHeight="1" x14ac:dyDescent="0.3">
      <c r="F24"/>
    </row>
    <row r="25" spans="6:6" ht="22.5" customHeight="1" x14ac:dyDescent="0.3">
      <c r="F25"/>
    </row>
    <row r="26" spans="6:6" ht="22.5" customHeight="1" x14ac:dyDescent="0.3">
      <c r="F26"/>
    </row>
    <row r="27" spans="6:6" ht="22.5" customHeight="1" x14ac:dyDescent="0.3">
      <c r="F27"/>
    </row>
    <row r="28" spans="6:6" ht="22.5" customHeight="1" x14ac:dyDescent="0.3">
      <c r="F28"/>
    </row>
    <row r="29" spans="6:6" ht="22.5" customHeight="1" x14ac:dyDescent="0.3">
      <c r="F29"/>
    </row>
    <row r="30" spans="6:6" ht="22.5" customHeight="1" x14ac:dyDescent="0.3">
      <c r="F30"/>
    </row>
    <row r="31" spans="6:6" ht="22.5" customHeight="1" x14ac:dyDescent="0.3">
      <c r="F31"/>
    </row>
    <row r="32" spans="6:6" ht="22.5" customHeight="1" x14ac:dyDescent="0.3">
      <c r="F32"/>
    </row>
    <row r="33" spans="6:6" ht="22.5" customHeight="1" x14ac:dyDescent="0.3">
      <c r="F33"/>
    </row>
    <row r="34" spans="6:6" ht="22.5" customHeight="1" x14ac:dyDescent="0.3">
      <c r="F34"/>
    </row>
    <row r="35" spans="6:6" ht="22.5" customHeight="1" x14ac:dyDescent="0.3">
      <c r="F35"/>
    </row>
    <row r="36" spans="6:6" ht="22.5" customHeight="1" x14ac:dyDescent="0.3">
      <c r="F36"/>
    </row>
    <row r="37" spans="6:6" ht="22.5" customHeight="1" x14ac:dyDescent="0.3">
      <c r="F37"/>
    </row>
    <row r="38" spans="6:6" ht="22.5" customHeight="1" x14ac:dyDescent="0.3">
      <c r="F38"/>
    </row>
    <row r="39" spans="6:6" ht="22.5" customHeight="1" x14ac:dyDescent="0.3">
      <c r="F39"/>
    </row>
    <row r="40" spans="6:6" ht="22.5" customHeight="1" x14ac:dyDescent="0.3">
      <c r="F40"/>
    </row>
    <row r="41" spans="6:6" ht="22.5" customHeight="1" x14ac:dyDescent="0.3">
      <c r="F41"/>
    </row>
    <row r="42" spans="6:6" ht="22.5" customHeight="1" x14ac:dyDescent="0.3">
      <c r="F42"/>
    </row>
    <row r="43" spans="6:6" ht="22.5" customHeight="1" x14ac:dyDescent="0.3">
      <c r="F43"/>
    </row>
    <row r="44" spans="6:6" ht="22.5" customHeight="1" x14ac:dyDescent="0.3">
      <c r="F44"/>
    </row>
    <row r="45" spans="6:6" ht="22.5" customHeight="1" x14ac:dyDescent="0.3">
      <c r="F45"/>
    </row>
    <row r="46" spans="6:6" ht="22.5" customHeight="1" x14ac:dyDescent="0.3">
      <c r="F46"/>
    </row>
    <row r="47" spans="6:6" ht="22.5" customHeight="1" x14ac:dyDescent="0.3">
      <c r="F47"/>
    </row>
    <row r="48" spans="6:6" ht="22.5" customHeight="1" x14ac:dyDescent="0.3">
      <c r="F48"/>
    </row>
    <row r="49" spans="6:6" ht="22.5" customHeight="1" x14ac:dyDescent="0.3">
      <c r="F49"/>
    </row>
    <row r="50" spans="6:6" ht="22.5" customHeight="1" x14ac:dyDescent="0.3">
      <c r="F50"/>
    </row>
    <row r="51" spans="6:6" ht="22.5" customHeight="1" x14ac:dyDescent="0.3">
      <c r="F51"/>
    </row>
    <row r="52" spans="6:6" ht="22.5" customHeight="1" x14ac:dyDescent="0.3">
      <c r="F52"/>
    </row>
    <row r="53" spans="6:6" ht="22.5" customHeight="1" x14ac:dyDescent="0.3">
      <c r="F53"/>
    </row>
    <row r="54" spans="6:6" ht="22.5" customHeight="1" x14ac:dyDescent="0.3">
      <c r="F54"/>
    </row>
    <row r="55" spans="6:6" ht="22.5" customHeight="1" x14ac:dyDescent="0.3">
      <c r="F55"/>
    </row>
    <row r="56" spans="6:6" ht="22.5" customHeight="1" x14ac:dyDescent="0.3">
      <c r="F56"/>
    </row>
    <row r="57" spans="6:6" ht="22.5" customHeight="1" x14ac:dyDescent="0.3">
      <c r="F57"/>
    </row>
    <row r="58" spans="6:6" ht="22.5" customHeight="1" x14ac:dyDescent="0.3">
      <c r="F58"/>
    </row>
    <row r="59" spans="6:6" ht="22.5" customHeight="1" x14ac:dyDescent="0.3">
      <c r="F59"/>
    </row>
    <row r="60" spans="6:6" ht="22.5" customHeight="1" x14ac:dyDescent="0.3">
      <c r="F60"/>
    </row>
    <row r="61" spans="6:6" ht="22.5" customHeight="1" x14ac:dyDescent="0.3">
      <c r="F61"/>
    </row>
    <row r="62" spans="6:6" ht="22.5" customHeight="1" x14ac:dyDescent="0.3">
      <c r="F62"/>
    </row>
    <row r="63" spans="6:6" ht="22.5" customHeight="1" x14ac:dyDescent="0.3">
      <c r="F63"/>
    </row>
    <row r="64" spans="6:6" ht="22.5" customHeight="1" x14ac:dyDescent="0.3">
      <c r="F64"/>
    </row>
    <row r="65" spans="6:6" ht="22.5" customHeight="1" x14ac:dyDescent="0.3">
      <c r="F65"/>
    </row>
    <row r="66" spans="6:6" ht="22.5" customHeight="1" x14ac:dyDescent="0.3">
      <c r="F66"/>
    </row>
    <row r="67" spans="6:6" ht="22.5" customHeight="1" x14ac:dyDescent="0.3">
      <c r="F67"/>
    </row>
    <row r="68" spans="6:6" ht="22.5" customHeight="1" x14ac:dyDescent="0.3">
      <c r="F68"/>
    </row>
    <row r="69" spans="6:6" ht="22.5" customHeight="1" x14ac:dyDescent="0.3">
      <c r="F69"/>
    </row>
    <row r="70" spans="6:6" ht="22.5" customHeight="1" x14ac:dyDescent="0.3">
      <c r="F70"/>
    </row>
    <row r="71" spans="6:6" ht="22.5" customHeight="1" x14ac:dyDescent="0.3">
      <c r="F71"/>
    </row>
    <row r="72" spans="6:6" ht="22.5" customHeight="1" x14ac:dyDescent="0.3">
      <c r="F72"/>
    </row>
    <row r="73" spans="6:6" ht="22.5" customHeight="1" x14ac:dyDescent="0.3">
      <c r="F73"/>
    </row>
    <row r="74" spans="6:6" ht="22.5" customHeight="1" x14ac:dyDescent="0.3">
      <c r="F74"/>
    </row>
    <row r="75" spans="6:6" ht="22.5" customHeight="1" x14ac:dyDescent="0.3">
      <c r="F75"/>
    </row>
    <row r="76" spans="6:6" ht="22.5" customHeight="1" x14ac:dyDescent="0.3">
      <c r="F76"/>
    </row>
    <row r="77" spans="6:6" ht="22.5" customHeight="1" x14ac:dyDescent="0.3">
      <c r="F77"/>
    </row>
    <row r="78" spans="6:6" ht="22.5" customHeight="1" x14ac:dyDescent="0.3">
      <c r="F78"/>
    </row>
    <row r="79" spans="6:6" ht="22.5" customHeight="1" x14ac:dyDescent="0.3">
      <c r="F79"/>
    </row>
    <row r="80" spans="6:6" ht="22.5" customHeight="1" x14ac:dyDescent="0.3">
      <c r="F80"/>
    </row>
    <row r="81" spans="6:6" ht="22.5" customHeight="1" x14ac:dyDescent="0.3">
      <c r="F81"/>
    </row>
    <row r="82" spans="6:6" ht="22.5" customHeight="1" x14ac:dyDescent="0.3">
      <c r="F82"/>
    </row>
    <row r="83" spans="6:6" ht="22.5" customHeight="1" x14ac:dyDescent="0.3">
      <c r="F83"/>
    </row>
    <row r="84" spans="6:6" ht="22.5" customHeight="1" x14ac:dyDescent="0.3">
      <c r="F84"/>
    </row>
    <row r="85" spans="6:6" ht="22.5" customHeight="1" x14ac:dyDescent="0.3">
      <c r="F85"/>
    </row>
    <row r="86" spans="6:6" ht="22.5" customHeight="1" x14ac:dyDescent="0.3">
      <c r="F86"/>
    </row>
    <row r="87" spans="6:6" ht="22.5" customHeight="1" x14ac:dyDescent="0.3">
      <c r="F87"/>
    </row>
    <row r="88" spans="6:6" ht="22.5" customHeight="1" x14ac:dyDescent="0.3">
      <c r="F88"/>
    </row>
    <row r="89" spans="6:6" ht="22.5" customHeight="1" x14ac:dyDescent="0.3">
      <c r="F89"/>
    </row>
    <row r="90" spans="6:6" ht="22.5" customHeight="1" x14ac:dyDescent="0.3">
      <c r="F90"/>
    </row>
    <row r="91" spans="6:6" ht="22.5" customHeight="1" x14ac:dyDescent="0.3">
      <c r="F91"/>
    </row>
    <row r="92" spans="6:6" ht="22.5" customHeight="1" x14ac:dyDescent="0.3">
      <c r="F92"/>
    </row>
    <row r="93" spans="6:6" ht="22.5" customHeight="1" x14ac:dyDescent="0.3">
      <c r="F93"/>
    </row>
    <row r="94" spans="6:6" ht="22.5" customHeight="1" x14ac:dyDescent="0.3">
      <c r="F94"/>
    </row>
    <row r="95" spans="6:6" ht="22.5" customHeight="1" x14ac:dyDescent="0.3">
      <c r="F95"/>
    </row>
    <row r="96" spans="6:6" ht="22.5" customHeight="1" x14ac:dyDescent="0.3">
      <c r="F96"/>
    </row>
    <row r="97" spans="6:6" ht="22.5" customHeight="1" x14ac:dyDescent="0.3">
      <c r="F97"/>
    </row>
    <row r="98" spans="6:6" ht="22.5" customHeight="1" x14ac:dyDescent="0.3">
      <c r="F98"/>
    </row>
    <row r="99" spans="6:6" ht="22.5" customHeight="1" x14ac:dyDescent="0.3">
      <c r="F99"/>
    </row>
    <row r="100" spans="6:6" ht="22.5" customHeight="1" x14ac:dyDescent="0.3">
      <c r="F100"/>
    </row>
    <row r="101" spans="6:6" ht="22.5" customHeight="1" x14ac:dyDescent="0.3">
      <c r="F101"/>
    </row>
    <row r="102" spans="6:6" ht="22.5" customHeight="1" x14ac:dyDescent="0.3">
      <c r="F102"/>
    </row>
    <row r="103" spans="6:6" ht="22.5" customHeight="1" x14ac:dyDescent="0.3">
      <c r="F103"/>
    </row>
    <row r="104" spans="6:6" ht="22.5" customHeight="1" x14ac:dyDescent="0.3">
      <c r="F104"/>
    </row>
    <row r="105" spans="6:6" ht="22.5" customHeight="1" x14ac:dyDescent="0.3">
      <c r="F105"/>
    </row>
    <row r="106" spans="6:6" ht="22.5" customHeight="1" x14ac:dyDescent="0.3">
      <c r="F106"/>
    </row>
    <row r="107" spans="6:6" ht="22.5" customHeight="1" x14ac:dyDescent="0.3">
      <c r="F107"/>
    </row>
    <row r="108" spans="6:6" ht="22.5" customHeight="1" x14ac:dyDescent="0.3">
      <c r="F108"/>
    </row>
    <row r="109" spans="6:6" ht="22.5" customHeight="1" x14ac:dyDescent="0.3">
      <c r="F109"/>
    </row>
    <row r="110" spans="6:6" ht="22.5" customHeight="1" x14ac:dyDescent="0.3">
      <c r="F110"/>
    </row>
    <row r="111" spans="6:6" ht="22.5" customHeight="1" x14ac:dyDescent="0.3">
      <c r="F111"/>
    </row>
    <row r="112" spans="6:6" ht="22.5" customHeight="1" x14ac:dyDescent="0.3">
      <c r="F112"/>
    </row>
    <row r="113" spans="6:6" ht="22.5" customHeight="1" x14ac:dyDescent="0.3">
      <c r="F113"/>
    </row>
    <row r="114" spans="6:6" ht="22.5" customHeight="1" x14ac:dyDescent="0.3">
      <c r="F114"/>
    </row>
    <row r="115" spans="6:6" ht="22.5" customHeight="1" x14ac:dyDescent="0.3">
      <c r="F115"/>
    </row>
    <row r="116" spans="6:6" ht="22.5" customHeight="1" x14ac:dyDescent="0.3">
      <c r="F116"/>
    </row>
    <row r="117" spans="6:6" ht="22.5" customHeight="1" x14ac:dyDescent="0.3">
      <c r="F117"/>
    </row>
    <row r="118" spans="6:6" ht="22.5" customHeight="1" x14ac:dyDescent="0.3">
      <c r="F118"/>
    </row>
    <row r="119" spans="6:6" ht="22.5" customHeight="1" x14ac:dyDescent="0.3">
      <c r="F119"/>
    </row>
    <row r="120" spans="6:6" ht="22.5" customHeight="1" x14ac:dyDescent="0.3">
      <c r="F120"/>
    </row>
    <row r="121" spans="6:6" ht="22.5" customHeight="1" x14ac:dyDescent="0.3">
      <c r="F121"/>
    </row>
    <row r="122" spans="6:6" ht="22.5" customHeight="1" x14ac:dyDescent="0.3">
      <c r="F122"/>
    </row>
    <row r="123" spans="6:6" ht="22.5" customHeight="1" x14ac:dyDescent="0.3">
      <c r="F123"/>
    </row>
    <row r="124" spans="6:6" ht="22.5" customHeight="1" x14ac:dyDescent="0.3">
      <c r="F124"/>
    </row>
    <row r="125" spans="6:6" ht="22.5" customHeight="1" x14ac:dyDescent="0.3">
      <c r="F125"/>
    </row>
    <row r="126" spans="6:6" ht="22.5" customHeight="1" x14ac:dyDescent="0.3">
      <c r="F126"/>
    </row>
    <row r="127" spans="6:6" ht="22.5" customHeight="1" x14ac:dyDescent="0.3">
      <c r="F127"/>
    </row>
    <row r="128" spans="6:6" ht="22.5" customHeight="1" x14ac:dyDescent="0.3">
      <c r="F128"/>
    </row>
    <row r="129" spans="6:6" ht="22.5" customHeight="1" x14ac:dyDescent="0.3">
      <c r="F129"/>
    </row>
    <row r="130" spans="6:6" ht="22.5" customHeight="1" x14ac:dyDescent="0.3">
      <c r="F130"/>
    </row>
    <row r="131" spans="6:6" ht="22.5" customHeight="1" x14ac:dyDescent="0.3">
      <c r="F131"/>
    </row>
    <row r="132" spans="6:6" ht="22.5" customHeight="1" x14ac:dyDescent="0.3">
      <c r="F132"/>
    </row>
    <row r="133" spans="6:6" ht="22.5" customHeight="1" x14ac:dyDescent="0.3">
      <c r="F133"/>
    </row>
    <row r="134" spans="6:6" ht="22.5" customHeight="1" x14ac:dyDescent="0.3">
      <c r="F134"/>
    </row>
    <row r="135" spans="6:6" ht="22.5" customHeight="1" x14ac:dyDescent="0.3">
      <c r="F135"/>
    </row>
    <row r="136" spans="6:6" ht="22.5" customHeight="1" x14ac:dyDescent="0.3">
      <c r="F136"/>
    </row>
    <row r="137" spans="6:6" ht="22.5" customHeight="1" x14ac:dyDescent="0.3">
      <c r="F137"/>
    </row>
    <row r="138" spans="6:6" ht="22.5" customHeight="1" x14ac:dyDescent="0.3">
      <c r="F138"/>
    </row>
    <row r="139" spans="6:6" ht="22.5" customHeight="1" x14ac:dyDescent="0.3">
      <c r="F139"/>
    </row>
    <row r="140" spans="6:6" ht="22.5" customHeight="1" x14ac:dyDescent="0.3">
      <c r="F140"/>
    </row>
    <row r="141" spans="6:6" ht="22.5" customHeight="1" x14ac:dyDescent="0.3">
      <c r="F141"/>
    </row>
    <row r="142" spans="6:6" ht="22.5" customHeight="1" x14ac:dyDescent="0.3">
      <c r="F142"/>
    </row>
    <row r="143" spans="6:6" ht="22.5" customHeight="1" x14ac:dyDescent="0.3">
      <c r="F143"/>
    </row>
    <row r="144" spans="6:6" ht="22.5" customHeight="1" x14ac:dyDescent="0.3">
      <c r="F144"/>
    </row>
    <row r="145" spans="6:6" ht="22.5" customHeight="1" x14ac:dyDescent="0.3">
      <c r="F145"/>
    </row>
    <row r="146" spans="6:6" ht="22.5" customHeight="1" x14ac:dyDescent="0.3">
      <c r="F146"/>
    </row>
    <row r="147" spans="6:6" ht="22.5" customHeight="1" x14ac:dyDescent="0.3">
      <c r="F147"/>
    </row>
    <row r="148" spans="6:6" ht="22.5" customHeight="1" x14ac:dyDescent="0.3">
      <c r="F148"/>
    </row>
    <row r="149" spans="6:6" ht="22.5" customHeight="1" x14ac:dyDescent="0.3">
      <c r="F149"/>
    </row>
    <row r="150" spans="6:6" ht="22.5" customHeight="1" x14ac:dyDescent="0.3">
      <c r="F150"/>
    </row>
    <row r="151" spans="6:6" ht="22.5" customHeight="1" x14ac:dyDescent="0.3">
      <c r="F151"/>
    </row>
    <row r="152" spans="6:6" ht="22.5" customHeight="1" x14ac:dyDescent="0.3">
      <c r="F152"/>
    </row>
    <row r="153" spans="6:6" ht="22.5" customHeight="1" x14ac:dyDescent="0.3">
      <c r="F153"/>
    </row>
    <row r="154" spans="6:6" ht="22.5" customHeight="1" x14ac:dyDescent="0.3">
      <c r="F154"/>
    </row>
    <row r="155" spans="6:6" ht="22.5" customHeight="1" x14ac:dyDescent="0.3">
      <c r="F155"/>
    </row>
    <row r="156" spans="6:6" ht="22.5" customHeight="1" x14ac:dyDescent="0.3">
      <c r="F156"/>
    </row>
    <row r="157" spans="6:6" ht="22.5" customHeight="1" x14ac:dyDescent="0.3">
      <c r="F157"/>
    </row>
    <row r="158" spans="6:6" ht="22.5" customHeight="1" x14ac:dyDescent="0.3">
      <c r="F158"/>
    </row>
    <row r="159" spans="6:6" ht="22.5" customHeight="1" x14ac:dyDescent="0.3">
      <c r="F159"/>
    </row>
    <row r="160" spans="6:6" ht="22.5" customHeight="1" x14ac:dyDescent="0.3">
      <c r="F160"/>
    </row>
    <row r="161" spans="6:6" ht="22.5" customHeight="1" x14ac:dyDescent="0.3">
      <c r="F161"/>
    </row>
    <row r="162" spans="6:6" ht="22.5" customHeight="1" x14ac:dyDescent="0.3">
      <c r="F162"/>
    </row>
    <row r="163" spans="6:6" ht="22.5" customHeight="1" x14ac:dyDescent="0.3">
      <c r="F163"/>
    </row>
    <row r="164" spans="6:6" ht="22.5" customHeight="1" x14ac:dyDescent="0.3">
      <c r="F164"/>
    </row>
    <row r="165" spans="6:6" ht="22.5" customHeight="1" x14ac:dyDescent="0.3">
      <c r="F165"/>
    </row>
    <row r="166" spans="6:6" ht="22.5" customHeight="1" x14ac:dyDescent="0.3">
      <c r="F166"/>
    </row>
    <row r="167" spans="6:6" ht="22.5" customHeight="1" x14ac:dyDescent="0.3">
      <c r="F167"/>
    </row>
    <row r="168" spans="6:6" ht="22.5" customHeight="1" x14ac:dyDescent="0.3">
      <c r="F168"/>
    </row>
    <row r="169" spans="6:6" ht="22.5" customHeight="1" x14ac:dyDescent="0.3">
      <c r="F169"/>
    </row>
    <row r="170" spans="6:6" ht="22.5" customHeight="1" x14ac:dyDescent="0.3">
      <c r="F170"/>
    </row>
    <row r="171" spans="6:6" ht="22.5" customHeight="1" x14ac:dyDescent="0.3">
      <c r="F171"/>
    </row>
    <row r="172" spans="6:6" ht="22.5" customHeight="1" x14ac:dyDescent="0.3">
      <c r="F172"/>
    </row>
    <row r="173" spans="6:6" ht="22.5" customHeight="1" x14ac:dyDescent="0.3">
      <c r="F173"/>
    </row>
    <row r="174" spans="6:6" ht="22.5" customHeight="1" x14ac:dyDescent="0.3">
      <c r="F174"/>
    </row>
    <row r="175" spans="6:6" ht="22.5" customHeight="1" x14ac:dyDescent="0.3">
      <c r="F175"/>
    </row>
    <row r="176" spans="6:6" ht="22.5" customHeight="1" x14ac:dyDescent="0.3">
      <c r="F176"/>
    </row>
    <row r="177" spans="6:6" ht="22.5" customHeight="1" x14ac:dyDescent="0.3">
      <c r="F177"/>
    </row>
    <row r="178" spans="6:6" ht="22.5" customHeight="1" x14ac:dyDescent="0.3">
      <c r="F178"/>
    </row>
    <row r="179" spans="6:6" ht="22.5" customHeight="1" x14ac:dyDescent="0.3">
      <c r="F179"/>
    </row>
    <row r="180" spans="6:6" ht="22.5" customHeight="1" x14ac:dyDescent="0.3">
      <c r="F180"/>
    </row>
    <row r="181" spans="6:6" ht="22.5" customHeight="1" x14ac:dyDescent="0.3">
      <c r="F181"/>
    </row>
    <row r="182" spans="6:6" ht="22.5" customHeight="1" x14ac:dyDescent="0.3">
      <c r="F182"/>
    </row>
    <row r="183" spans="6:6" ht="22.5" customHeight="1" x14ac:dyDescent="0.3">
      <c r="F183"/>
    </row>
    <row r="184" spans="6:6" ht="22.5" customHeight="1" x14ac:dyDescent="0.3">
      <c r="F184"/>
    </row>
    <row r="185" spans="6:6" ht="22.5" customHeight="1" x14ac:dyDescent="0.3">
      <c r="F185"/>
    </row>
    <row r="186" spans="6:6" ht="22.5" customHeight="1" x14ac:dyDescent="0.3">
      <c r="F186"/>
    </row>
    <row r="187" spans="6:6" ht="22.5" customHeight="1" x14ac:dyDescent="0.3">
      <c r="F187"/>
    </row>
    <row r="188" spans="6:6" ht="22.5" customHeight="1" x14ac:dyDescent="0.3">
      <c r="F188"/>
    </row>
    <row r="189" spans="6:6" ht="22.5" customHeight="1" x14ac:dyDescent="0.3">
      <c r="F189"/>
    </row>
    <row r="190" spans="6:6" ht="22.5" customHeight="1" x14ac:dyDescent="0.3">
      <c r="F190"/>
    </row>
    <row r="191" spans="6:6" ht="22.5" customHeight="1" x14ac:dyDescent="0.3">
      <c r="F191"/>
    </row>
    <row r="192" spans="6:6" ht="22.5" customHeight="1" x14ac:dyDescent="0.3">
      <c r="F192"/>
    </row>
    <row r="193" spans="6:6" ht="22.5" customHeight="1" x14ac:dyDescent="0.3">
      <c r="F193"/>
    </row>
    <row r="194" spans="6:6" ht="22.5" customHeight="1" x14ac:dyDescent="0.3">
      <c r="F194"/>
    </row>
    <row r="195" spans="6:6" ht="22.5" customHeight="1" x14ac:dyDescent="0.3">
      <c r="F195"/>
    </row>
    <row r="196" spans="6:6" ht="22.5" customHeight="1" x14ac:dyDescent="0.3">
      <c r="F196"/>
    </row>
    <row r="197" spans="6:6" ht="22.5" customHeight="1" x14ac:dyDescent="0.3">
      <c r="F197"/>
    </row>
    <row r="198" spans="6:6" ht="22.5" customHeight="1" x14ac:dyDescent="0.3">
      <c r="F198"/>
    </row>
    <row r="199" spans="6:6" ht="22.5" customHeight="1" x14ac:dyDescent="0.3">
      <c r="F199"/>
    </row>
    <row r="200" spans="6:6" ht="22.5" customHeight="1" x14ac:dyDescent="0.3">
      <c r="F200"/>
    </row>
    <row r="201" spans="6:6" ht="22.5" customHeight="1" x14ac:dyDescent="0.3">
      <c r="F201"/>
    </row>
    <row r="202" spans="6:6" ht="22.5" customHeight="1" x14ac:dyDescent="0.3">
      <c r="F202"/>
    </row>
    <row r="203" spans="6:6" ht="22.5" customHeight="1" x14ac:dyDescent="0.3">
      <c r="F203"/>
    </row>
    <row r="204" spans="6:6" ht="22.5" customHeight="1" x14ac:dyDescent="0.3">
      <c r="F204"/>
    </row>
    <row r="205" spans="6:6" ht="22.5" customHeight="1" x14ac:dyDescent="0.3">
      <c r="F205"/>
    </row>
    <row r="206" spans="6:6" ht="22.5" customHeight="1" x14ac:dyDescent="0.3">
      <c r="F206"/>
    </row>
    <row r="207" spans="6:6" ht="22.5" customHeight="1" x14ac:dyDescent="0.3">
      <c r="F207"/>
    </row>
    <row r="208" spans="6:6" ht="22.5" customHeight="1" x14ac:dyDescent="0.3">
      <c r="F208"/>
    </row>
    <row r="209" spans="6:6" ht="22.5" customHeight="1" x14ac:dyDescent="0.3">
      <c r="F209"/>
    </row>
    <row r="210" spans="6:6" ht="22.5" customHeight="1" x14ac:dyDescent="0.3">
      <c r="F210"/>
    </row>
    <row r="211" spans="6:6" ht="22.5" customHeight="1" x14ac:dyDescent="0.3">
      <c r="F211"/>
    </row>
    <row r="212" spans="6:6" ht="22.5" customHeight="1" x14ac:dyDescent="0.3">
      <c r="F212"/>
    </row>
    <row r="213" spans="6:6" ht="22.5" customHeight="1" x14ac:dyDescent="0.3">
      <c r="F213"/>
    </row>
    <row r="214" spans="6:6" ht="22.5" customHeight="1" x14ac:dyDescent="0.3">
      <c r="F214"/>
    </row>
    <row r="215" spans="6:6" ht="22.5" customHeight="1" x14ac:dyDescent="0.3">
      <c r="F215"/>
    </row>
    <row r="216" spans="6:6" ht="22.5" customHeight="1" x14ac:dyDescent="0.3">
      <c r="F216"/>
    </row>
    <row r="217" spans="6:6" ht="22.5" customHeight="1" x14ac:dyDescent="0.3">
      <c r="F217"/>
    </row>
    <row r="218" spans="6:6" ht="22.5" customHeight="1" x14ac:dyDescent="0.3">
      <c r="F218"/>
    </row>
    <row r="219" spans="6:6" ht="22.5" customHeight="1" x14ac:dyDescent="0.3">
      <c r="F219"/>
    </row>
    <row r="220" spans="6:6" ht="22.5" customHeight="1" x14ac:dyDescent="0.3">
      <c r="F220"/>
    </row>
    <row r="221" spans="6:6" ht="22.5" customHeight="1" x14ac:dyDescent="0.3">
      <c r="F221"/>
    </row>
    <row r="222" spans="6:6" ht="22.5" customHeight="1" x14ac:dyDescent="0.3">
      <c r="F222"/>
    </row>
    <row r="223" spans="6:6" ht="22.5" customHeight="1" x14ac:dyDescent="0.3">
      <c r="F223"/>
    </row>
    <row r="224" spans="6:6" ht="22.5" customHeight="1" x14ac:dyDescent="0.3">
      <c r="F224"/>
    </row>
    <row r="225" spans="6:6" ht="22.5" customHeight="1" x14ac:dyDescent="0.3">
      <c r="F225"/>
    </row>
    <row r="226" spans="6:6" ht="22.5" customHeight="1" x14ac:dyDescent="0.3">
      <c r="F226"/>
    </row>
    <row r="227" spans="6:6" ht="22.5" customHeight="1" x14ac:dyDescent="0.3">
      <c r="F227"/>
    </row>
    <row r="228" spans="6:6" ht="22.5" customHeight="1" x14ac:dyDescent="0.3">
      <c r="F228"/>
    </row>
    <row r="229" spans="6:6" ht="22.5" customHeight="1" x14ac:dyDescent="0.3">
      <c r="F229"/>
    </row>
    <row r="230" spans="6:6" ht="22.5" customHeight="1" x14ac:dyDescent="0.3">
      <c r="F230"/>
    </row>
    <row r="231" spans="6:6" ht="22.5" customHeight="1" x14ac:dyDescent="0.3">
      <c r="F231"/>
    </row>
    <row r="232" spans="6:6" ht="22.5" customHeight="1" x14ac:dyDescent="0.3">
      <c r="F232"/>
    </row>
    <row r="233" spans="6:6" ht="22.5" customHeight="1" x14ac:dyDescent="0.3">
      <c r="F233"/>
    </row>
    <row r="234" spans="6:6" ht="22.5" customHeight="1" x14ac:dyDescent="0.3">
      <c r="F234"/>
    </row>
    <row r="235" spans="6:6" ht="22.5" customHeight="1" x14ac:dyDescent="0.3">
      <c r="F235"/>
    </row>
    <row r="236" spans="6:6" ht="22.5" customHeight="1" x14ac:dyDescent="0.3">
      <c r="F236"/>
    </row>
    <row r="237" spans="6:6" ht="22.5" customHeight="1" x14ac:dyDescent="0.3">
      <c r="F237"/>
    </row>
    <row r="238" spans="6:6" ht="22.5" customHeight="1" x14ac:dyDescent="0.3">
      <c r="F238"/>
    </row>
    <row r="239" spans="6:6" ht="22.5" customHeight="1" x14ac:dyDescent="0.3">
      <c r="F239"/>
    </row>
    <row r="240" spans="6:6" ht="22.5" customHeight="1" x14ac:dyDescent="0.3">
      <c r="F240"/>
    </row>
    <row r="241" spans="6:6" ht="22.5" customHeight="1" x14ac:dyDescent="0.3">
      <c r="F241"/>
    </row>
    <row r="242" spans="6:6" ht="22.5" customHeight="1" x14ac:dyDescent="0.3">
      <c r="F242"/>
    </row>
    <row r="243" spans="6:6" ht="22.5" customHeight="1" x14ac:dyDescent="0.3">
      <c r="F243"/>
    </row>
    <row r="244" spans="6:6" ht="22.5" customHeight="1" x14ac:dyDescent="0.3">
      <c r="F244"/>
    </row>
    <row r="245" spans="6:6" ht="22.5" customHeight="1" x14ac:dyDescent="0.3">
      <c r="F245"/>
    </row>
    <row r="246" spans="6:6" ht="22.5" customHeight="1" x14ac:dyDescent="0.3">
      <c r="F246"/>
    </row>
    <row r="247" spans="6:6" ht="22.5" customHeight="1" x14ac:dyDescent="0.3">
      <c r="F247"/>
    </row>
    <row r="248" spans="6:6" ht="22.5" customHeight="1" x14ac:dyDescent="0.3">
      <c r="F248"/>
    </row>
    <row r="249" spans="6:6" ht="22.5" customHeight="1" x14ac:dyDescent="0.3">
      <c r="F249"/>
    </row>
    <row r="250" spans="6:6" ht="22.5" customHeight="1" x14ac:dyDescent="0.3">
      <c r="F250"/>
    </row>
    <row r="251" spans="6:6" ht="22.5" customHeight="1" x14ac:dyDescent="0.3">
      <c r="F251"/>
    </row>
    <row r="252" spans="6:6" ht="22.5" customHeight="1" x14ac:dyDescent="0.3">
      <c r="F252"/>
    </row>
    <row r="253" spans="6:6" ht="22.5" customHeight="1" x14ac:dyDescent="0.3">
      <c r="F253"/>
    </row>
    <row r="254" spans="6:6" ht="22.5" customHeight="1" x14ac:dyDescent="0.3">
      <c r="F254"/>
    </row>
    <row r="255" spans="6:6" ht="22.5" customHeight="1" x14ac:dyDescent="0.3">
      <c r="F255"/>
    </row>
    <row r="256" spans="6:6" ht="22.5" customHeight="1" x14ac:dyDescent="0.3">
      <c r="F256"/>
    </row>
    <row r="257" spans="6:6" ht="22.5" customHeight="1" x14ac:dyDescent="0.3">
      <c r="F257"/>
    </row>
    <row r="258" spans="6:6" ht="22.5" customHeight="1" x14ac:dyDescent="0.3">
      <c r="F258"/>
    </row>
    <row r="259" spans="6:6" ht="22.5" customHeight="1" x14ac:dyDescent="0.3">
      <c r="F259"/>
    </row>
    <row r="260" spans="6:6" ht="22.5" customHeight="1" x14ac:dyDescent="0.3">
      <c r="F260"/>
    </row>
    <row r="261" spans="6:6" ht="22.5" customHeight="1" x14ac:dyDescent="0.3">
      <c r="F261"/>
    </row>
    <row r="262" spans="6:6" ht="22.5" customHeight="1" x14ac:dyDescent="0.3">
      <c r="F262"/>
    </row>
    <row r="263" spans="6:6" ht="22.5" customHeight="1" x14ac:dyDescent="0.3">
      <c r="F263"/>
    </row>
    <row r="264" spans="6:6" ht="22.5" customHeight="1" x14ac:dyDescent="0.3">
      <c r="F264"/>
    </row>
    <row r="265" spans="6:6" ht="22.5" customHeight="1" x14ac:dyDescent="0.3">
      <c r="F265"/>
    </row>
    <row r="266" spans="6:6" ht="22.5" customHeight="1" x14ac:dyDescent="0.3">
      <c r="F266"/>
    </row>
    <row r="267" spans="6:6" ht="22.5" customHeight="1" x14ac:dyDescent="0.3">
      <c r="F267"/>
    </row>
    <row r="268" spans="6:6" ht="22.5" customHeight="1" x14ac:dyDescent="0.3">
      <c r="F268"/>
    </row>
    <row r="269" spans="6:6" ht="22.5" customHeight="1" x14ac:dyDescent="0.3">
      <c r="F269"/>
    </row>
    <row r="270" spans="6:6" ht="22.5" customHeight="1" x14ac:dyDescent="0.3">
      <c r="F270"/>
    </row>
    <row r="271" spans="6:6" ht="22.5" customHeight="1" x14ac:dyDescent="0.3">
      <c r="F271"/>
    </row>
    <row r="272" spans="6:6" ht="22.5" customHeight="1" x14ac:dyDescent="0.3">
      <c r="F272"/>
    </row>
    <row r="273" spans="6:6" ht="22.5" customHeight="1" x14ac:dyDescent="0.3">
      <c r="F273"/>
    </row>
    <row r="274" spans="6:6" ht="22.5" customHeight="1" x14ac:dyDescent="0.3">
      <c r="F274"/>
    </row>
    <row r="275" spans="6:6" ht="22.5" customHeight="1" x14ac:dyDescent="0.3">
      <c r="F275"/>
    </row>
    <row r="276" spans="6:6" ht="22.5" customHeight="1" x14ac:dyDescent="0.3">
      <c r="F276"/>
    </row>
    <row r="277" spans="6:6" ht="22.5" customHeight="1" x14ac:dyDescent="0.3">
      <c r="F277"/>
    </row>
    <row r="278" spans="6:6" ht="22.5" customHeight="1" x14ac:dyDescent="0.3">
      <c r="F278"/>
    </row>
    <row r="279" spans="6:6" ht="22.5" customHeight="1" x14ac:dyDescent="0.3">
      <c r="F279"/>
    </row>
    <row r="280" spans="6:6" ht="22.5" customHeight="1" x14ac:dyDescent="0.3">
      <c r="F280"/>
    </row>
    <row r="281" spans="6:6" ht="22.5" customHeight="1" x14ac:dyDescent="0.3">
      <c r="F281"/>
    </row>
    <row r="282" spans="6:6" ht="22.5" customHeight="1" x14ac:dyDescent="0.3">
      <c r="F282"/>
    </row>
    <row r="283" spans="6:6" ht="22.5" customHeight="1" x14ac:dyDescent="0.3">
      <c r="F283"/>
    </row>
    <row r="284" spans="6:6" ht="22.5" customHeight="1" x14ac:dyDescent="0.3">
      <c r="F284"/>
    </row>
    <row r="285" spans="6:6" ht="22.5" customHeight="1" x14ac:dyDescent="0.3">
      <c r="F285"/>
    </row>
    <row r="286" spans="6:6" ht="22.5" customHeight="1" x14ac:dyDescent="0.3">
      <c r="F286"/>
    </row>
    <row r="287" spans="6:6" ht="22.5" customHeight="1" x14ac:dyDescent="0.3">
      <c r="F287"/>
    </row>
    <row r="288" spans="6:6" ht="22.5" customHeight="1" x14ac:dyDescent="0.3">
      <c r="F288"/>
    </row>
    <row r="289" spans="6:6" ht="22.5" customHeight="1" x14ac:dyDescent="0.3">
      <c r="F289"/>
    </row>
    <row r="290" spans="6:6" ht="22.5" customHeight="1" x14ac:dyDescent="0.3">
      <c r="F290"/>
    </row>
    <row r="291" spans="6:6" ht="22.5" customHeight="1" x14ac:dyDescent="0.3">
      <c r="F291"/>
    </row>
    <row r="292" spans="6:6" ht="22.5" customHeight="1" x14ac:dyDescent="0.3">
      <c r="F292"/>
    </row>
    <row r="293" spans="6:6" ht="22.5" customHeight="1" x14ac:dyDescent="0.3">
      <c r="F293"/>
    </row>
    <row r="294" spans="6:6" ht="22.5" customHeight="1" x14ac:dyDescent="0.3">
      <c r="F294"/>
    </row>
    <row r="295" spans="6:6" ht="22.5" customHeight="1" x14ac:dyDescent="0.3">
      <c r="F295"/>
    </row>
    <row r="296" spans="6:6" ht="22.5" customHeight="1" x14ac:dyDescent="0.3">
      <c r="F296"/>
    </row>
    <row r="297" spans="6:6" ht="22.5" customHeight="1" x14ac:dyDescent="0.3">
      <c r="F297"/>
    </row>
    <row r="298" spans="6:6" ht="22.5" customHeight="1" x14ac:dyDescent="0.3">
      <c r="F298"/>
    </row>
    <row r="299" spans="6:6" ht="22.5" customHeight="1" x14ac:dyDescent="0.3">
      <c r="F299"/>
    </row>
    <row r="300" spans="6:6" ht="22.5" customHeight="1" x14ac:dyDescent="0.3">
      <c r="F300"/>
    </row>
    <row r="301" spans="6:6" ht="22.5" customHeight="1" x14ac:dyDescent="0.3">
      <c r="F301"/>
    </row>
    <row r="302" spans="6:6" ht="22.5" customHeight="1" x14ac:dyDescent="0.3">
      <c r="F302"/>
    </row>
    <row r="303" spans="6:6" ht="22.5" customHeight="1" x14ac:dyDescent="0.3">
      <c r="F303"/>
    </row>
    <row r="304" spans="6:6" ht="22.5" customHeight="1" x14ac:dyDescent="0.3">
      <c r="F304"/>
    </row>
    <row r="305" spans="6:6" ht="22.5" customHeight="1" x14ac:dyDescent="0.3">
      <c r="F305"/>
    </row>
    <row r="306" spans="6:6" ht="22.5" customHeight="1" x14ac:dyDescent="0.3">
      <c r="F306"/>
    </row>
    <row r="307" spans="6:6" ht="22.5" customHeight="1" x14ac:dyDescent="0.3">
      <c r="F307"/>
    </row>
    <row r="308" spans="6:6" ht="22.5" customHeight="1" x14ac:dyDescent="0.3">
      <c r="F308"/>
    </row>
    <row r="309" spans="6:6" ht="22.5" customHeight="1" x14ac:dyDescent="0.3">
      <c r="F309"/>
    </row>
    <row r="310" spans="6:6" ht="22.5" customHeight="1" x14ac:dyDescent="0.3">
      <c r="F310"/>
    </row>
    <row r="311" spans="6:6" ht="22.5" customHeight="1" x14ac:dyDescent="0.3">
      <c r="F311"/>
    </row>
    <row r="312" spans="6:6" ht="22.5" customHeight="1" x14ac:dyDescent="0.3">
      <c r="F312"/>
    </row>
    <row r="313" spans="6:6" ht="22.5" customHeight="1" x14ac:dyDescent="0.3">
      <c r="F313"/>
    </row>
    <row r="314" spans="6:6" ht="22.5" customHeight="1" x14ac:dyDescent="0.3">
      <c r="F314"/>
    </row>
    <row r="315" spans="6:6" ht="22.5" customHeight="1" x14ac:dyDescent="0.3">
      <c r="F315"/>
    </row>
    <row r="316" spans="6:6" ht="22.5" customHeight="1" x14ac:dyDescent="0.3">
      <c r="F316"/>
    </row>
    <row r="317" spans="6:6" ht="22.5" customHeight="1" x14ac:dyDescent="0.3">
      <c r="F317"/>
    </row>
    <row r="318" spans="6:6" ht="22.5" customHeight="1" x14ac:dyDescent="0.3">
      <c r="F318"/>
    </row>
    <row r="319" spans="6:6" ht="22.5" customHeight="1" x14ac:dyDescent="0.3">
      <c r="F319"/>
    </row>
    <row r="320" spans="6:6" ht="22.5" customHeight="1" x14ac:dyDescent="0.3">
      <c r="F320"/>
    </row>
    <row r="321" spans="6:6" ht="22.5" customHeight="1" x14ac:dyDescent="0.3">
      <c r="F321"/>
    </row>
    <row r="322" spans="6:6" ht="22.5" customHeight="1" x14ac:dyDescent="0.3">
      <c r="F322"/>
    </row>
    <row r="323" spans="6:6" ht="22.5" customHeight="1" x14ac:dyDescent="0.3">
      <c r="F323"/>
    </row>
    <row r="324" spans="6:6" ht="22.5" customHeight="1" x14ac:dyDescent="0.3">
      <c r="F324"/>
    </row>
    <row r="325" spans="6:6" ht="22.5" customHeight="1" x14ac:dyDescent="0.3">
      <c r="F325"/>
    </row>
    <row r="326" spans="6:6" ht="22.5" customHeight="1" x14ac:dyDescent="0.3">
      <c r="F326"/>
    </row>
    <row r="327" spans="6:6" ht="22.5" customHeight="1" x14ac:dyDescent="0.3">
      <c r="F327"/>
    </row>
    <row r="328" spans="6:6" ht="22.5" customHeight="1" x14ac:dyDescent="0.3">
      <c r="F328"/>
    </row>
    <row r="329" spans="6:6" ht="22.5" customHeight="1" x14ac:dyDescent="0.3">
      <c r="F329"/>
    </row>
    <row r="330" spans="6:6" ht="22.5" customHeight="1" x14ac:dyDescent="0.3">
      <c r="F330"/>
    </row>
    <row r="331" spans="6:6" ht="22.5" customHeight="1" x14ac:dyDescent="0.3">
      <c r="F331"/>
    </row>
    <row r="332" spans="6:6" ht="22.5" customHeight="1" x14ac:dyDescent="0.3">
      <c r="F332"/>
    </row>
    <row r="333" spans="6:6" ht="22.5" customHeight="1" x14ac:dyDescent="0.3">
      <c r="F333"/>
    </row>
    <row r="334" spans="6:6" ht="22.5" customHeight="1" x14ac:dyDescent="0.3">
      <c r="F334"/>
    </row>
    <row r="335" spans="6:6" ht="22.5" customHeight="1" x14ac:dyDescent="0.3">
      <c r="F335"/>
    </row>
    <row r="336" spans="6:6" ht="22.5" customHeight="1" x14ac:dyDescent="0.3">
      <c r="F336"/>
    </row>
    <row r="337" spans="6:6" ht="22.5" customHeight="1" x14ac:dyDescent="0.3">
      <c r="F337"/>
    </row>
    <row r="338" spans="6:6" ht="22.5" customHeight="1" x14ac:dyDescent="0.3">
      <c r="F338"/>
    </row>
    <row r="339" spans="6:6" ht="22.5" customHeight="1" x14ac:dyDescent="0.3">
      <c r="F339"/>
    </row>
    <row r="340" spans="6:6" ht="22.5" customHeight="1" x14ac:dyDescent="0.3">
      <c r="F340"/>
    </row>
    <row r="341" spans="6:6" ht="22.5" customHeight="1" x14ac:dyDescent="0.3">
      <c r="F341"/>
    </row>
    <row r="342" spans="6:6" ht="22.5" customHeight="1" x14ac:dyDescent="0.3">
      <c r="F342"/>
    </row>
    <row r="343" spans="6:6" ht="22.5" customHeight="1" x14ac:dyDescent="0.3">
      <c r="F343"/>
    </row>
    <row r="344" spans="6:6" ht="22.5" customHeight="1" x14ac:dyDescent="0.3">
      <c r="F344"/>
    </row>
    <row r="345" spans="6:6" ht="22.5" customHeight="1" x14ac:dyDescent="0.3">
      <c r="F345"/>
    </row>
    <row r="346" spans="6:6" ht="22.5" customHeight="1" x14ac:dyDescent="0.3">
      <c r="F346"/>
    </row>
    <row r="347" spans="6:6" ht="22.5" customHeight="1" x14ac:dyDescent="0.3">
      <c r="F347"/>
    </row>
    <row r="348" spans="6:6" ht="22.5" customHeight="1" x14ac:dyDescent="0.3">
      <c r="F348"/>
    </row>
    <row r="349" spans="6:6" ht="22.5" customHeight="1" x14ac:dyDescent="0.3">
      <c r="F349"/>
    </row>
    <row r="350" spans="6:6" ht="22.5" customHeight="1" x14ac:dyDescent="0.3">
      <c r="F350"/>
    </row>
    <row r="351" spans="6:6" ht="22.5" customHeight="1" x14ac:dyDescent="0.3">
      <c r="F351"/>
    </row>
    <row r="352" spans="6:6" ht="22.5" customHeight="1" x14ac:dyDescent="0.3">
      <c r="F352"/>
    </row>
    <row r="353" spans="6:6" ht="22.5" customHeight="1" x14ac:dyDescent="0.3">
      <c r="F353"/>
    </row>
    <row r="354" spans="6:6" ht="22.5" customHeight="1" x14ac:dyDescent="0.3">
      <c r="F354"/>
    </row>
    <row r="355" spans="6:6" ht="22.5" customHeight="1" x14ac:dyDescent="0.3">
      <c r="F355"/>
    </row>
    <row r="356" spans="6:6" ht="22.5" customHeight="1" x14ac:dyDescent="0.3">
      <c r="F356"/>
    </row>
    <row r="357" spans="6:6" ht="22.5" customHeight="1" x14ac:dyDescent="0.3">
      <c r="F357"/>
    </row>
    <row r="358" spans="6:6" ht="22.5" customHeight="1" x14ac:dyDescent="0.3">
      <c r="F358"/>
    </row>
    <row r="359" spans="6:6" ht="22.5" customHeight="1" x14ac:dyDescent="0.3">
      <c r="F359"/>
    </row>
    <row r="360" spans="6:6" ht="22.5" customHeight="1" x14ac:dyDescent="0.3">
      <c r="F360"/>
    </row>
    <row r="361" spans="6:6" ht="22.5" customHeight="1" x14ac:dyDescent="0.3">
      <c r="F361"/>
    </row>
    <row r="362" spans="6:6" ht="22.5" customHeight="1" x14ac:dyDescent="0.3">
      <c r="F362"/>
    </row>
    <row r="363" spans="6:6" ht="22.5" customHeight="1" x14ac:dyDescent="0.3">
      <c r="F363"/>
    </row>
    <row r="364" spans="6:6" ht="22.5" customHeight="1" x14ac:dyDescent="0.3">
      <c r="F364"/>
    </row>
    <row r="365" spans="6:6" ht="22.5" customHeight="1" x14ac:dyDescent="0.3">
      <c r="F365"/>
    </row>
    <row r="366" spans="6:6" ht="22.5" customHeight="1" x14ac:dyDescent="0.3">
      <c r="F366"/>
    </row>
    <row r="367" spans="6:6" ht="22.5" customHeight="1" x14ac:dyDescent="0.3">
      <c r="F367"/>
    </row>
    <row r="368" spans="6:6" ht="22.5" customHeight="1" x14ac:dyDescent="0.3">
      <c r="F368"/>
    </row>
    <row r="369" spans="6:6" ht="22.5" customHeight="1" x14ac:dyDescent="0.3">
      <c r="F369"/>
    </row>
    <row r="370" spans="6:6" ht="22.5" customHeight="1" x14ac:dyDescent="0.3">
      <c r="F370"/>
    </row>
    <row r="371" spans="6:6" ht="22.5" customHeight="1" x14ac:dyDescent="0.3">
      <c r="F371"/>
    </row>
    <row r="372" spans="6:6" ht="22.5" customHeight="1" x14ac:dyDescent="0.3">
      <c r="F372"/>
    </row>
    <row r="373" spans="6:6" ht="22.5" customHeight="1" x14ac:dyDescent="0.3">
      <c r="F373"/>
    </row>
    <row r="374" spans="6:6" ht="22.5" customHeight="1" x14ac:dyDescent="0.3">
      <c r="F374"/>
    </row>
    <row r="375" spans="6:6" ht="22.5" customHeight="1" x14ac:dyDescent="0.3">
      <c r="F375"/>
    </row>
    <row r="376" spans="6:6" ht="22.5" customHeight="1" x14ac:dyDescent="0.3">
      <c r="F376"/>
    </row>
    <row r="377" spans="6:6" ht="22.5" customHeight="1" x14ac:dyDescent="0.3">
      <c r="F377"/>
    </row>
    <row r="378" spans="6:6" ht="22.5" customHeight="1" x14ac:dyDescent="0.3">
      <c r="F378"/>
    </row>
    <row r="379" spans="6:6" ht="22.5" customHeight="1" x14ac:dyDescent="0.3">
      <c r="F379"/>
    </row>
    <row r="380" spans="6:6" ht="22.5" customHeight="1" x14ac:dyDescent="0.3">
      <c r="F380"/>
    </row>
    <row r="381" spans="6:6" ht="22.5" customHeight="1" x14ac:dyDescent="0.3">
      <c r="F381"/>
    </row>
    <row r="382" spans="6:6" ht="22.5" customHeight="1" x14ac:dyDescent="0.3">
      <c r="F382"/>
    </row>
    <row r="383" spans="6:6" ht="22.5" customHeight="1" x14ac:dyDescent="0.3">
      <c r="F383"/>
    </row>
    <row r="384" spans="6:6" ht="22.5" customHeight="1" x14ac:dyDescent="0.3">
      <c r="F384"/>
    </row>
    <row r="385" spans="6:6" ht="22.5" customHeight="1" x14ac:dyDescent="0.3">
      <c r="F385"/>
    </row>
    <row r="386" spans="6:6" ht="22.5" customHeight="1" x14ac:dyDescent="0.3">
      <c r="F386"/>
    </row>
    <row r="387" spans="6:6" ht="22.5" customHeight="1" x14ac:dyDescent="0.3">
      <c r="F387"/>
    </row>
    <row r="388" spans="6:6" ht="22.5" customHeight="1" x14ac:dyDescent="0.3">
      <c r="F388"/>
    </row>
    <row r="389" spans="6:6" ht="22.5" customHeight="1" x14ac:dyDescent="0.3">
      <c r="F389"/>
    </row>
    <row r="390" spans="6:6" ht="22.5" customHeight="1" x14ac:dyDescent="0.3">
      <c r="F390"/>
    </row>
    <row r="391" spans="6:6" ht="22.5" customHeight="1" x14ac:dyDescent="0.3">
      <c r="F391"/>
    </row>
    <row r="392" spans="6:6" ht="22.5" customHeight="1" x14ac:dyDescent="0.3">
      <c r="F392"/>
    </row>
    <row r="393" spans="6:6" ht="22.5" customHeight="1" x14ac:dyDescent="0.3">
      <c r="F393"/>
    </row>
    <row r="394" spans="6:6" ht="22.5" customHeight="1" x14ac:dyDescent="0.3">
      <c r="F394"/>
    </row>
    <row r="395" spans="6:6" ht="22.5" customHeight="1" x14ac:dyDescent="0.3">
      <c r="F395"/>
    </row>
    <row r="396" spans="6:6" ht="22.5" customHeight="1" x14ac:dyDescent="0.3">
      <c r="F396"/>
    </row>
    <row r="397" spans="6:6" ht="22.5" customHeight="1" x14ac:dyDescent="0.3">
      <c r="F397"/>
    </row>
    <row r="398" spans="6:6" ht="22.5" customHeight="1" x14ac:dyDescent="0.3">
      <c r="F398"/>
    </row>
    <row r="399" spans="6:6" ht="22.5" customHeight="1" x14ac:dyDescent="0.3">
      <c r="F399"/>
    </row>
    <row r="400" spans="6:6" ht="22.5" customHeight="1" x14ac:dyDescent="0.3">
      <c r="F400"/>
    </row>
    <row r="401" spans="6:6" ht="22.5" customHeight="1" x14ac:dyDescent="0.3">
      <c r="F401"/>
    </row>
    <row r="402" spans="6:6" ht="22.5" customHeight="1" x14ac:dyDescent="0.3">
      <c r="F402"/>
    </row>
    <row r="403" spans="6:6" ht="22.5" customHeight="1" x14ac:dyDescent="0.3">
      <c r="F403"/>
    </row>
    <row r="404" spans="6:6" ht="22.5" customHeight="1" x14ac:dyDescent="0.3">
      <c r="F404"/>
    </row>
    <row r="405" spans="6:6" ht="22.5" customHeight="1" x14ac:dyDescent="0.3">
      <c r="F405"/>
    </row>
    <row r="406" spans="6:6" ht="22.5" customHeight="1" x14ac:dyDescent="0.3">
      <c r="F406"/>
    </row>
    <row r="407" spans="6:6" ht="22.5" customHeight="1" x14ac:dyDescent="0.3">
      <c r="F407"/>
    </row>
    <row r="408" spans="6:6" ht="22.5" customHeight="1" x14ac:dyDescent="0.3">
      <c r="F408"/>
    </row>
    <row r="409" spans="6:6" ht="22.5" customHeight="1" x14ac:dyDescent="0.3">
      <c r="F409"/>
    </row>
    <row r="410" spans="6:6" ht="22.5" customHeight="1" x14ac:dyDescent="0.3">
      <c r="F410"/>
    </row>
    <row r="411" spans="6:6" ht="22.5" customHeight="1" x14ac:dyDescent="0.3">
      <c r="F411"/>
    </row>
    <row r="412" spans="6:6" ht="22.5" customHeight="1" x14ac:dyDescent="0.3">
      <c r="F412"/>
    </row>
    <row r="413" spans="6:6" ht="22.5" customHeight="1" x14ac:dyDescent="0.3">
      <c r="F413"/>
    </row>
    <row r="414" spans="6:6" ht="22.5" customHeight="1" x14ac:dyDescent="0.3">
      <c r="F414"/>
    </row>
    <row r="415" spans="6:6" ht="22.5" customHeight="1" x14ac:dyDescent="0.3">
      <c r="F415"/>
    </row>
    <row r="416" spans="6:6" ht="22.5" customHeight="1" x14ac:dyDescent="0.3">
      <c r="F416"/>
    </row>
    <row r="417" spans="6:6" ht="22.5" customHeight="1" x14ac:dyDescent="0.3">
      <c r="F417"/>
    </row>
    <row r="418" spans="6:6" ht="22.5" customHeight="1" x14ac:dyDescent="0.3">
      <c r="F418"/>
    </row>
    <row r="419" spans="6:6" ht="22.5" customHeight="1" x14ac:dyDescent="0.3">
      <c r="F419"/>
    </row>
    <row r="420" spans="6:6" ht="22.5" customHeight="1" x14ac:dyDescent="0.3">
      <c r="F420"/>
    </row>
    <row r="421" spans="6:6" ht="22.5" customHeight="1" x14ac:dyDescent="0.3">
      <c r="F421"/>
    </row>
    <row r="422" spans="6:6" ht="22.5" customHeight="1" x14ac:dyDescent="0.3">
      <c r="F422"/>
    </row>
    <row r="423" spans="6:6" ht="22.5" customHeight="1" x14ac:dyDescent="0.3">
      <c r="F423"/>
    </row>
    <row r="424" spans="6:6" ht="22.5" customHeight="1" x14ac:dyDescent="0.3">
      <c r="F424"/>
    </row>
    <row r="425" spans="6:6" ht="22.5" customHeight="1" x14ac:dyDescent="0.3">
      <c r="F425"/>
    </row>
    <row r="426" spans="6:6" ht="22.5" customHeight="1" x14ac:dyDescent="0.3">
      <c r="F426"/>
    </row>
    <row r="427" spans="6:6" ht="22.5" customHeight="1" x14ac:dyDescent="0.3">
      <c r="F427"/>
    </row>
    <row r="428" spans="6:6" ht="22.5" customHeight="1" x14ac:dyDescent="0.3">
      <c r="F428"/>
    </row>
    <row r="429" spans="6:6" ht="22.5" customHeight="1" x14ac:dyDescent="0.3">
      <c r="F429"/>
    </row>
    <row r="430" spans="6:6" ht="22.5" customHeight="1" x14ac:dyDescent="0.3">
      <c r="F430"/>
    </row>
    <row r="431" spans="6:6" ht="22.5" customHeight="1" x14ac:dyDescent="0.3">
      <c r="F431"/>
    </row>
    <row r="432" spans="6:6" ht="22.5" customHeight="1" x14ac:dyDescent="0.3">
      <c r="F432"/>
    </row>
    <row r="433" spans="6:6" ht="22.5" customHeight="1" x14ac:dyDescent="0.3">
      <c r="F433"/>
    </row>
    <row r="434" spans="6:6" ht="22.5" customHeight="1" x14ac:dyDescent="0.3">
      <c r="F434"/>
    </row>
    <row r="435" spans="6:6" ht="22.5" customHeight="1" x14ac:dyDescent="0.3">
      <c r="F435"/>
    </row>
    <row r="436" spans="6:6" ht="22.5" customHeight="1" x14ac:dyDescent="0.3">
      <c r="F436"/>
    </row>
    <row r="437" spans="6:6" ht="22.5" customHeight="1" x14ac:dyDescent="0.3">
      <c r="F437"/>
    </row>
    <row r="438" spans="6:6" ht="22.5" customHeight="1" x14ac:dyDescent="0.3">
      <c r="F438"/>
    </row>
    <row r="439" spans="6:6" ht="22.5" customHeight="1" x14ac:dyDescent="0.3">
      <c r="F439"/>
    </row>
    <row r="440" spans="6:6" ht="22.5" customHeight="1" x14ac:dyDescent="0.3">
      <c r="F440"/>
    </row>
    <row r="441" spans="6:6" ht="22.5" customHeight="1" x14ac:dyDescent="0.3">
      <c r="F441"/>
    </row>
    <row r="442" spans="6:6" ht="22.5" customHeight="1" x14ac:dyDescent="0.3">
      <c r="F442"/>
    </row>
    <row r="443" spans="6:6" ht="22.5" customHeight="1" x14ac:dyDescent="0.3">
      <c r="F443"/>
    </row>
    <row r="444" spans="6:6" ht="22.5" customHeight="1" x14ac:dyDescent="0.3">
      <c r="F444"/>
    </row>
    <row r="445" spans="6:6" ht="22.5" customHeight="1" x14ac:dyDescent="0.3">
      <c r="F445"/>
    </row>
    <row r="446" spans="6:6" ht="22.5" customHeight="1" x14ac:dyDescent="0.3">
      <c r="F446"/>
    </row>
    <row r="447" spans="6:6" ht="22.5" customHeight="1" x14ac:dyDescent="0.3">
      <c r="F447"/>
    </row>
    <row r="448" spans="6:6" ht="22.5" customHeight="1" x14ac:dyDescent="0.3">
      <c r="F448"/>
    </row>
    <row r="449" spans="6:6" ht="22.5" customHeight="1" x14ac:dyDescent="0.3">
      <c r="F449"/>
    </row>
    <row r="450" spans="6:6" ht="22.5" customHeight="1" x14ac:dyDescent="0.3">
      <c r="F450"/>
    </row>
    <row r="451" spans="6:6" ht="22.5" customHeight="1" x14ac:dyDescent="0.3">
      <c r="F451"/>
    </row>
    <row r="452" spans="6:6" ht="22.5" customHeight="1" x14ac:dyDescent="0.3">
      <c r="F452"/>
    </row>
    <row r="453" spans="6:6" ht="22.5" customHeight="1" x14ac:dyDescent="0.3">
      <c r="F453"/>
    </row>
    <row r="454" spans="6:6" ht="22.5" customHeight="1" x14ac:dyDescent="0.3">
      <c r="F454"/>
    </row>
    <row r="455" spans="6:6" ht="22.5" customHeight="1" x14ac:dyDescent="0.3">
      <c r="F455"/>
    </row>
    <row r="456" spans="6:6" ht="22.5" customHeight="1" x14ac:dyDescent="0.3">
      <c r="F456"/>
    </row>
    <row r="457" spans="6:6" ht="22.5" customHeight="1" x14ac:dyDescent="0.3">
      <c r="F457"/>
    </row>
    <row r="458" spans="6:6" ht="22.5" customHeight="1" x14ac:dyDescent="0.3">
      <c r="F458"/>
    </row>
    <row r="459" spans="6:6" ht="22.5" customHeight="1" x14ac:dyDescent="0.3">
      <c r="F459"/>
    </row>
    <row r="460" spans="6:6" ht="22.5" customHeight="1" x14ac:dyDescent="0.3">
      <c r="F460"/>
    </row>
    <row r="461" spans="6:6" ht="22.5" customHeight="1" x14ac:dyDescent="0.3">
      <c r="F461"/>
    </row>
    <row r="462" spans="6:6" ht="22.5" customHeight="1" x14ac:dyDescent="0.3">
      <c r="F462"/>
    </row>
    <row r="463" spans="6:6" ht="22.5" customHeight="1" x14ac:dyDescent="0.3">
      <c r="F463"/>
    </row>
    <row r="464" spans="6:6" ht="22.5" customHeight="1" x14ac:dyDescent="0.3">
      <c r="F464"/>
    </row>
    <row r="465" spans="6:6" ht="22.5" customHeight="1" x14ac:dyDescent="0.3">
      <c r="F465"/>
    </row>
    <row r="466" spans="6:6" ht="22.5" customHeight="1" x14ac:dyDescent="0.3">
      <c r="F466"/>
    </row>
    <row r="467" spans="6:6" ht="22.5" customHeight="1" x14ac:dyDescent="0.3">
      <c r="F467"/>
    </row>
    <row r="468" spans="6:6" ht="22.5" customHeight="1" x14ac:dyDescent="0.3">
      <c r="F468"/>
    </row>
    <row r="469" spans="6:6" ht="22.5" customHeight="1" x14ac:dyDescent="0.3">
      <c r="F469"/>
    </row>
    <row r="470" spans="6:6" ht="22.5" customHeight="1" x14ac:dyDescent="0.3">
      <c r="F470"/>
    </row>
    <row r="471" spans="6:6" ht="22.5" customHeight="1" x14ac:dyDescent="0.3">
      <c r="F471"/>
    </row>
    <row r="472" spans="6:6" ht="22.5" customHeight="1" x14ac:dyDescent="0.3">
      <c r="F472"/>
    </row>
    <row r="473" spans="6:6" ht="22.5" customHeight="1" x14ac:dyDescent="0.3">
      <c r="F473"/>
    </row>
    <row r="474" spans="6:6" ht="22.5" customHeight="1" x14ac:dyDescent="0.3">
      <c r="F474"/>
    </row>
    <row r="475" spans="6:6" ht="22.5" customHeight="1" x14ac:dyDescent="0.3">
      <c r="F475"/>
    </row>
    <row r="476" spans="6:6" ht="22.5" customHeight="1" x14ac:dyDescent="0.3">
      <c r="F476"/>
    </row>
    <row r="477" spans="6:6" ht="22.5" customHeight="1" x14ac:dyDescent="0.3">
      <c r="F477"/>
    </row>
    <row r="478" spans="6:6" ht="22.5" customHeight="1" x14ac:dyDescent="0.3">
      <c r="F478"/>
    </row>
    <row r="479" spans="6:6" ht="22.5" customHeight="1" x14ac:dyDescent="0.3">
      <c r="F479"/>
    </row>
    <row r="480" spans="6:6" ht="22.5" customHeight="1" x14ac:dyDescent="0.3">
      <c r="F480"/>
    </row>
    <row r="481" spans="6:6" ht="22.5" customHeight="1" x14ac:dyDescent="0.3">
      <c r="F481"/>
    </row>
    <row r="482" spans="6:6" ht="22.5" customHeight="1" x14ac:dyDescent="0.3">
      <c r="F482"/>
    </row>
    <row r="483" spans="6:6" ht="22.5" customHeight="1" x14ac:dyDescent="0.3">
      <c r="F483"/>
    </row>
    <row r="484" spans="6:6" ht="22.5" customHeight="1" x14ac:dyDescent="0.3">
      <c r="F484"/>
    </row>
    <row r="485" spans="6:6" ht="22.5" customHeight="1" x14ac:dyDescent="0.3">
      <c r="F485"/>
    </row>
    <row r="486" spans="6:6" ht="22.5" customHeight="1" x14ac:dyDescent="0.3">
      <c r="F486"/>
    </row>
    <row r="487" spans="6:6" ht="22.5" customHeight="1" x14ac:dyDescent="0.3">
      <c r="F487"/>
    </row>
    <row r="488" spans="6:6" ht="22.5" customHeight="1" x14ac:dyDescent="0.3">
      <c r="F488"/>
    </row>
    <row r="489" spans="6:6" ht="22.5" customHeight="1" x14ac:dyDescent="0.3">
      <c r="F489"/>
    </row>
    <row r="490" spans="6:6" ht="22.5" customHeight="1" x14ac:dyDescent="0.3">
      <c r="F490"/>
    </row>
    <row r="491" spans="6:6" ht="22.5" customHeight="1" x14ac:dyDescent="0.3">
      <c r="F491"/>
    </row>
    <row r="492" spans="6:6" ht="22.5" customHeight="1" x14ac:dyDescent="0.3">
      <c r="F492"/>
    </row>
    <row r="493" spans="6:6" ht="22.5" customHeight="1" x14ac:dyDescent="0.3">
      <c r="F493"/>
    </row>
    <row r="494" spans="6:6" ht="22.5" customHeight="1" x14ac:dyDescent="0.3">
      <c r="F494"/>
    </row>
    <row r="495" spans="6:6" ht="22.5" customHeight="1" x14ac:dyDescent="0.3">
      <c r="F495"/>
    </row>
    <row r="496" spans="6:6" ht="22.5" customHeight="1" x14ac:dyDescent="0.3">
      <c r="F496"/>
    </row>
    <row r="497" spans="6:6" ht="22.5" customHeight="1" x14ac:dyDescent="0.3">
      <c r="F497"/>
    </row>
    <row r="498" spans="6:6" ht="22.5" customHeight="1" x14ac:dyDescent="0.3">
      <c r="F498"/>
    </row>
    <row r="499" spans="6:6" ht="22.5" customHeight="1" x14ac:dyDescent="0.3">
      <c r="F499"/>
    </row>
    <row r="500" spans="6:6" ht="22.5" customHeight="1" x14ac:dyDescent="0.3">
      <c r="F500"/>
    </row>
    <row r="501" spans="6:6" ht="22.5" customHeight="1" x14ac:dyDescent="0.3">
      <c r="F501"/>
    </row>
    <row r="502" spans="6:6" ht="22.5" customHeight="1" x14ac:dyDescent="0.3">
      <c r="F502"/>
    </row>
    <row r="503" spans="6:6" ht="22.5" customHeight="1" x14ac:dyDescent="0.3">
      <c r="F503"/>
    </row>
    <row r="504" spans="6:6" ht="22.5" customHeight="1" x14ac:dyDescent="0.3">
      <c r="F504"/>
    </row>
    <row r="505" spans="6:6" ht="22.5" customHeight="1" x14ac:dyDescent="0.3">
      <c r="F505"/>
    </row>
    <row r="506" spans="6:6" ht="22.5" customHeight="1" x14ac:dyDescent="0.3">
      <c r="F506"/>
    </row>
    <row r="507" spans="6:6" ht="22.5" customHeight="1" x14ac:dyDescent="0.3">
      <c r="F507"/>
    </row>
    <row r="508" spans="6:6" ht="22.5" customHeight="1" x14ac:dyDescent="0.3">
      <c r="F508"/>
    </row>
    <row r="509" spans="6:6" ht="22.5" customHeight="1" x14ac:dyDescent="0.3">
      <c r="F509"/>
    </row>
    <row r="510" spans="6:6" ht="22.5" customHeight="1" x14ac:dyDescent="0.3">
      <c r="F510"/>
    </row>
    <row r="511" spans="6:6" ht="22.5" customHeight="1" x14ac:dyDescent="0.3">
      <c r="F511"/>
    </row>
    <row r="512" spans="6:6" ht="22.5" customHeight="1" x14ac:dyDescent="0.3">
      <c r="F512"/>
    </row>
    <row r="513" spans="6:6" ht="22.5" customHeight="1" x14ac:dyDescent="0.3">
      <c r="F513"/>
    </row>
    <row r="514" spans="6:6" ht="22.5" customHeight="1" x14ac:dyDescent="0.3">
      <c r="F514"/>
    </row>
    <row r="515" spans="6:6" ht="22.5" customHeight="1" x14ac:dyDescent="0.3">
      <c r="F515"/>
    </row>
    <row r="516" spans="6:6" ht="22.5" customHeight="1" x14ac:dyDescent="0.3">
      <c r="F516"/>
    </row>
    <row r="517" spans="6:6" ht="22.5" customHeight="1" x14ac:dyDescent="0.3">
      <c r="F517"/>
    </row>
    <row r="518" spans="6:6" ht="22.5" customHeight="1" x14ac:dyDescent="0.3">
      <c r="F518"/>
    </row>
    <row r="519" spans="6:6" ht="22.5" customHeight="1" x14ac:dyDescent="0.3">
      <c r="F519"/>
    </row>
    <row r="520" spans="6:6" ht="22.5" customHeight="1" x14ac:dyDescent="0.3">
      <c r="F520"/>
    </row>
    <row r="521" spans="6:6" ht="22.5" customHeight="1" x14ac:dyDescent="0.3">
      <c r="F521"/>
    </row>
    <row r="522" spans="6:6" ht="22.5" customHeight="1" x14ac:dyDescent="0.3">
      <c r="F522"/>
    </row>
    <row r="523" spans="6:6" ht="22.5" customHeight="1" x14ac:dyDescent="0.3">
      <c r="F523"/>
    </row>
    <row r="524" spans="6:6" ht="22.5" customHeight="1" x14ac:dyDescent="0.3">
      <c r="F524"/>
    </row>
    <row r="525" spans="6:6" ht="22.5" customHeight="1" x14ac:dyDescent="0.3">
      <c r="F525"/>
    </row>
  </sheetData>
  <sortState xmlns:xlrd2="http://schemas.microsoft.com/office/spreadsheetml/2017/richdata2" ref="F2:F6">
    <sortCondition ref="F6"/>
  </sortState>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pageSetUpPr fitToPage="1"/>
  </sheetPr>
  <dimension ref="A1:N588"/>
  <sheetViews>
    <sheetView showGridLines="0" zoomScaleNormal="100" workbookViewId="0">
      <pane ySplit="1" topLeftCell="A17" activePane="bottomLeft" state="frozen"/>
      <selection activeCell="C1" sqref="C1"/>
      <selection pane="bottomLeft" activeCell="E40" sqref="E40"/>
    </sheetView>
  </sheetViews>
  <sheetFormatPr defaultColWidth="15.77734375" defaultRowHeight="14.4" x14ac:dyDescent="0.3"/>
  <cols>
    <col min="1" max="1" width="13.44140625" style="23" bestFit="1" customWidth="1"/>
    <col min="2" max="2" width="20.44140625" style="24" customWidth="1"/>
    <col min="3" max="3" width="16.21875" style="23" customWidth="1"/>
    <col min="4" max="4" width="20.21875" style="27" bestFit="1" customWidth="1"/>
    <col min="5" max="5" width="27.44140625" style="27" bestFit="1" customWidth="1"/>
    <col min="6" max="6" width="19.21875" style="19" customWidth="1"/>
    <col min="7" max="8" width="15.77734375" style="27" customWidth="1"/>
    <col min="9" max="10" width="12.21875" style="23" customWidth="1"/>
    <col min="11" max="12" width="24.77734375" style="25" customWidth="1"/>
    <col min="13" max="13" width="33.44140625" style="25" bestFit="1" customWidth="1"/>
    <col min="14" max="14" width="24.77734375" style="25" customWidth="1"/>
    <col min="15" max="15" width="43.44140625" style="26" customWidth="1"/>
    <col min="16" max="16384" width="15.77734375" style="26"/>
  </cols>
  <sheetData>
    <row r="1" spans="1:14" s="22" customFormat="1" x14ac:dyDescent="0.3">
      <c r="A1" s="36" t="s">
        <v>4</v>
      </c>
      <c r="B1" s="37" t="s">
        <v>1</v>
      </c>
      <c r="C1" s="36" t="s">
        <v>281</v>
      </c>
      <c r="D1" s="36" t="s">
        <v>8</v>
      </c>
      <c r="E1" s="36" t="s">
        <v>9</v>
      </c>
      <c r="F1" s="36" t="s">
        <v>10</v>
      </c>
      <c r="G1" s="36" t="s">
        <v>11</v>
      </c>
      <c r="H1" s="36" t="s">
        <v>12</v>
      </c>
      <c r="I1" s="36" t="s">
        <v>282</v>
      </c>
      <c r="J1" s="36" t="s">
        <v>283</v>
      </c>
      <c r="K1" s="36" t="str">
        <f>CONCATENATE("PORTION GROUPE")</f>
        <v>PORTION GROUPE</v>
      </c>
      <c r="L1" s="36" t="s">
        <v>284</v>
      </c>
      <c r="M1" s="36" t="s">
        <v>285</v>
      </c>
      <c r="N1" s="36" t="s">
        <v>286</v>
      </c>
    </row>
    <row r="2" spans="1:14" x14ac:dyDescent="0.3">
      <c r="A2" s="34">
        <v>0</v>
      </c>
      <c r="B2" s="38" t="str">
        <f>VLOOKUP(A2,OPTIONS!A:C,2,FALSE)</f>
        <v>MOYENNE</v>
      </c>
      <c r="C2" s="28" t="s">
        <v>341</v>
      </c>
      <c r="D2" s="19" t="s">
        <v>201</v>
      </c>
      <c r="E2" s="19" t="s">
        <v>201</v>
      </c>
      <c r="F2" s="19" t="s">
        <v>24</v>
      </c>
      <c r="G2" s="31">
        <f>1/VLOOKUP(A2,OPTIONS!A:C,3,FALSE)</f>
        <v>3.2258064516129031E-2</v>
      </c>
      <c r="H2" s="19" t="s">
        <v>342</v>
      </c>
      <c r="I2" s="28"/>
      <c r="J2" s="28"/>
      <c r="K2" s="39">
        <f>VLOOKUP(A2,OPTIONS!A:C,3,FALSE)*G2</f>
        <v>1</v>
      </c>
      <c r="L2" s="39" t="str">
        <f t="shared" ref="L2:L29" si="0">TRIM(CONCATENATE(G2," ", $H2, " ", $E2))</f>
        <v>0.032258064516129 Boîte Sucre</v>
      </c>
      <c r="M2" s="39" t="str">
        <f t="shared" ref="M2:M29" si="1">TRIM(CONCATENATE(K2," ", $H2, " ", $E2))</f>
        <v>1 Boîte Sucre</v>
      </c>
      <c r="N2" s="39" t="str">
        <f t="shared" ref="N2:N29" si="2">CONCATENATE(E2, " (", TRIM(H2), ")")</f>
        <v>Sucre (Boîte)</v>
      </c>
    </row>
    <row r="3" spans="1:14" x14ac:dyDescent="0.3">
      <c r="A3" s="34">
        <v>0</v>
      </c>
      <c r="B3" s="38" t="str">
        <f>VLOOKUP(A3,OPTIONS!A:C,2,FALSE)</f>
        <v>MOYENNE</v>
      </c>
      <c r="C3" s="28" t="s">
        <v>341</v>
      </c>
      <c r="D3" s="19" t="s">
        <v>258</v>
      </c>
      <c r="E3" s="19" t="s">
        <v>258</v>
      </c>
      <c r="F3" s="19" t="s">
        <v>24</v>
      </c>
      <c r="G3" s="31">
        <f>1/VLOOKUP(A3,OPTIONS!A:C,3,FALSE)</f>
        <v>3.2258064516129031E-2</v>
      </c>
      <c r="H3" s="19" t="s">
        <v>342</v>
      </c>
      <c r="I3" s="28"/>
      <c r="J3" s="28"/>
      <c r="K3" s="39">
        <f>VLOOKUP(A3,OPTIONS!A:C,3,FALSE)*G3</f>
        <v>1</v>
      </c>
      <c r="L3" s="39" t="str">
        <f t="shared" si="0"/>
        <v>0.032258064516129 Boîte Sel</v>
      </c>
      <c r="M3" s="39" t="str">
        <f t="shared" si="1"/>
        <v>1 Boîte Sel</v>
      </c>
      <c r="N3" s="39" t="str">
        <f t="shared" si="2"/>
        <v>Sel (Boîte)</v>
      </c>
    </row>
    <row r="4" spans="1:14" x14ac:dyDescent="0.3">
      <c r="A4" s="34">
        <v>0</v>
      </c>
      <c r="B4" s="38" t="str">
        <f>VLOOKUP(A4,OPTIONS!A:C,2,FALSE)</f>
        <v>MOYENNE</v>
      </c>
      <c r="C4" s="28" t="s">
        <v>341</v>
      </c>
      <c r="D4" s="19" t="s">
        <v>343</v>
      </c>
      <c r="E4" s="19" t="s">
        <v>343</v>
      </c>
      <c r="F4" s="19" t="s">
        <v>24</v>
      </c>
      <c r="G4" s="31">
        <f>1/VLOOKUP(A4,OPTIONS!A:C,3,FALSE)</f>
        <v>3.2258064516129031E-2</v>
      </c>
      <c r="H4" s="19" t="s">
        <v>342</v>
      </c>
      <c r="I4" s="28"/>
      <c r="J4" s="28"/>
      <c r="K4" s="39">
        <f>VLOOKUP(A4,OPTIONS!A:C,3,FALSE)*G4</f>
        <v>1</v>
      </c>
      <c r="L4" s="39" t="str">
        <f t="shared" si="0"/>
        <v>0.032258064516129 Boîte Poivre</v>
      </c>
      <c r="M4" s="39" t="str">
        <f t="shared" si="1"/>
        <v>1 Boîte Poivre</v>
      </c>
      <c r="N4" s="39" t="str">
        <f t="shared" si="2"/>
        <v>Poivre (Boîte)</v>
      </c>
    </row>
    <row r="5" spans="1:14" x14ac:dyDescent="0.3">
      <c r="A5" s="34">
        <v>0</v>
      </c>
      <c r="B5" s="38" t="str">
        <f>VLOOKUP(A5,OPTIONS!A:C,2,FALSE)</f>
        <v>MOYENNE</v>
      </c>
      <c r="C5" s="28" t="s">
        <v>341</v>
      </c>
      <c r="D5" s="19" t="s">
        <v>344</v>
      </c>
      <c r="E5" s="19" t="s">
        <v>344</v>
      </c>
      <c r="F5" s="19" t="s">
        <v>24</v>
      </c>
      <c r="G5" s="31">
        <f>1/VLOOKUP(A5,OPTIONS!A:C,3,FALSE)</f>
        <v>3.2258064516129031E-2</v>
      </c>
      <c r="H5" s="19" t="s">
        <v>342</v>
      </c>
      <c r="I5" s="28"/>
      <c r="J5" s="28"/>
      <c r="K5" s="39">
        <f>VLOOKUP(A5,OPTIONS!A:C,3,FALSE)*G5</f>
        <v>1</v>
      </c>
      <c r="L5" s="39" t="str">
        <f t="shared" si="0"/>
        <v>0.032258064516129 Boîte Café instantané</v>
      </c>
      <c r="M5" s="39" t="str">
        <f t="shared" si="1"/>
        <v>1 Boîte Café instantané</v>
      </c>
      <c r="N5" s="39" t="str">
        <f t="shared" si="2"/>
        <v>Café instantané (Boîte)</v>
      </c>
    </row>
    <row r="6" spans="1:14" x14ac:dyDescent="0.3">
      <c r="A6" s="34">
        <v>2</v>
      </c>
      <c r="B6" s="38">
        <f>VLOOKUP(A6,OPTIONS!A:C,2,FALSE)</f>
        <v>45657</v>
      </c>
      <c r="C6" s="28" t="s">
        <v>67</v>
      </c>
      <c r="D6" s="19" t="s">
        <v>374</v>
      </c>
      <c r="E6" s="19" t="s">
        <v>126</v>
      </c>
      <c r="F6" s="19" t="s">
        <v>21</v>
      </c>
      <c r="G6" s="31">
        <v>30</v>
      </c>
      <c r="H6" s="19" t="s">
        <v>80</v>
      </c>
      <c r="I6" s="28"/>
      <c r="J6" s="28"/>
      <c r="K6" s="39">
        <f>VLOOKUP(A6,OPTIONS!A:C,3,FALSE)*G6</f>
        <v>930</v>
      </c>
      <c r="L6" s="39" t="str">
        <f t="shared" si="0"/>
        <v>30 g Jambon</v>
      </c>
      <c r="M6" s="39" t="str">
        <f t="shared" si="1"/>
        <v>930 g Jambon</v>
      </c>
      <c r="N6" s="39" t="str">
        <f t="shared" si="2"/>
        <v>Jambon (g)</v>
      </c>
    </row>
    <row r="7" spans="1:14" x14ac:dyDescent="0.3">
      <c r="A7" s="34">
        <v>2</v>
      </c>
      <c r="B7" s="38">
        <f>VLOOKUP(A7,OPTIONS!A:C,2,FALSE)</f>
        <v>45657</v>
      </c>
      <c r="C7" s="28" t="s">
        <v>67</v>
      </c>
      <c r="D7" s="19" t="s">
        <v>374</v>
      </c>
      <c r="E7" s="19" t="s">
        <v>375</v>
      </c>
      <c r="F7" s="19" t="s">
        <v>21</v>
      </c>
      <c r="G7" s="31">
        <v>30</v>
      </c>
      <c r="H7" s="19" t="s">
        <v>80</v>
      </c>
      <c r="I7" s="28"/>
      <c r="J7" s="28"/>
      <c r="K7" s="39">
        <f>VLOOKUP(A7,OPTIONS!A:C,3,FALSE)*G7</f>
        <v>930</v>
      </c>
      <c r="L7" s="39" t="str">
        <f t="shared" si="0"/>
        <v>30 g Salami</v>
      </c>
      <c r="M7" s="39" t="str">
        <f t="shared" si="1"/>
        <v>930 g Salami</v>
      </c>
      <c r="N7" s="39" t="str">
        <f t="shared" si="2"/>
        <v>Salami (g)</v>
      </c>
    </row>
    <row r="8" spans="1:14" x14ac:dyDescent="0.3">
      <c r="A8" s="34">
        <v>2</v>
      </c>
      <c r="B8" s="38">
        <f>VLOOKUP(A8,OPTIONS!A:C,2,FALSE)</f>
        <v>45657</v>
      </c>
      <c r="C8" s="28" t="s">
        <v>67</v>
      </c>
      <c r="D8" s="19" t="s">
        <v>374</v>
      </c>
      <c r="E8" s="19" t="s">
        <v>243</v>
      </c>
      <c r="F8" s="19" t="s">
        <v>21</v>
      </c>
      <c r="G8" s="31">
        <v>30</v>
      </c>
      <c r="H8" s="19" t="s">
        <v>80</v>
      </c>
      <c r="I8" s="28"/>
      <c r="J8" s="28"/>
      <c r="K8" s="39">
        <f>VLOOKUP(A8,OPTIONS!A:C,3,FALSE)*G8</f>
        <v>930</v>
      </c>
      <c r="L8" s="39" t="str">
        <f t="shared" si="0"/>
        <v>30 g Mortadelle</v>
      </c>
      <c r="M8" s="39" t="str">
        <f t="shared" si="1"/>
        <v>930 g Mortadelle</v>
      </c>
      <c r="N8" s="39" t="str">
        <f t="shared" si="2"/>
        <v>Mortadelle (g)</v>
      </c>
    </row>
    <row r="9" spans="1:14" x14ac:dyDescent="0.3">
      <c r="A9" s="34">
        <v>2</v>
      </c>
      <c r="B9" s="38">
        <f>VLOOKUP(A9,OPTIONS!A:C,2,FALSE)</f>
        <v>45657</v>
      </c>
      <c r="C9" s="28" t="s">
        <v>67</v>
      </c>
      <c r="D9" s="19" t="s">
        <v>374</v>
      </c>
      <c r="E9" s="19" t="s">
        <v>269</v>
      </c>
      <c r="F9" s="19" t="s">
        <v>21</v>
      </c>
      <c r="G9" s="31">
        <v>30</v>
      </c>
      <c r="H9" s="19" t="s">
        <v>80</v>
      </c>
      <c r="I9" s="28"/>
      <c r="J9" s="28"/>
      <c r="K9" s="39">
        <f>VLOOKUP(A9,OPTIONS!A:C,3,FALSE)*G9</f>
        <v>930</v>
      </c>
      <c r="L9" s="39" t="str">
        <f t="shared" si="0"/>
        <v>30 g Poulet</v>
      </c>
      <c r="M9" s="39" t="str">
        <f t="shared" si="1"/>
        <v>930 g Poulet</v>
      </c>
      <c r="N9" s="39" t="str">
        <f t="shared" si="2"/>
        <v>Poulet (g)</v>
      </c>
    </row>
    <row r="10" spans="1:14" x14ac:dyDescent="0.3">
      <c r="A10" s="34">
        <v>2</v>
      </c>
      <c r="B10" s="38">
        <f>VLOOKUP(A10,OPTIONS!A:C,2,FALSE)</f>
        <v>45657</v>
      </c>
      <c r="C10" s="28" t="s">
        <v>67</v>
      </c>
      <c r="D10" s="19" t="s">
        <v>226</v>
      </c>
      <c r="E10" s="19" t="s">
        <v>226</v>
      </c>
      <c r="F10" s="19" t="s">
        <v>24</v>
      </c>
      <c r="G10" s="31">
        <v>0.1111111111111111</v>
      </c>
      <c r="H10" s="19" t="s">
        <v>227</v>
      </c>
      <c r="I10" s="28"/>
      <c r="J10" s="28"/>
      <c r="K10" s="39">
        <f>VLOOKUP(A10,OPTIONS!A:C,3,FALSE)*G10</f>
        <v>3.4444444444444442</v>
      </c>
      <c r="L10" s="39" t="str">
        <f t="shared" si="0"/>
        <v>0.111111111111111 Sacs Chips</v>
      </c>
      <c r="M10" s="39" t="str">
        <f t="shared" si="1"/>
        <v>3.44444444444444 Sacs Chips</v>
      </c>
      <c r="N10" s="39" t="str">
        <f t="shared" si="2"/>
        <v>Chips (Sacs)</v>
      </c>
    </row>
    <row r="11" spans="1:14" x14ac:dyDescent="0.3">
      <c r="A11" s="34">
        <v>1</v>
      </c>
      <c r="B11" s="38">
        <f>VLOOKUP(A11,OPTIONS!A:C,2,FALSE)</f>
        <v>45656</v>
      </c>
      <c r="C11" s="28" t="s">
        <v>49</v>
      </c>
      <c r="D11" s="19" t="s">
        <v>186</v>
      </c>
      <c r="E11" s="19" t="s">
        <v>69</v>
      </c>
      <c r="F11" s="19" t="s">
        <v>19</v>
      </c>
      <c r="G11" s="31">
        <v>2.5</v>
      </c>
      <c r="H11" s="19" t="s">
        <v>83</v>
      </c>
      <c r="I11" s="28"/>
      <c r="J11" s="28"/>
      <c r="K11" s="39">
        <f>VLOOKUP(A11,OPTIONS!A:C,3,FALSE)*G11</f>
        <v>77.5</v>
      </c>
      <c r="L11" s="39" t="str">
        <f t="shared" si="0"/>
        <v>2.5 unité Tortillas</v>
      </c>
      <c r="M11" s="39" t="str">
        <f t="shared" si="1"/>
        <v>77.5 unité Tortillas</v>
      </c>
      <c r="N11" s="39" t="str">
        <f t="shared" si="2"/>
        <v>Tortillas (unité)</v>
      </c>
    </row>
    <row r="12" spans="1:14" x14ac:dyDescent="0.3">
      <c r="A12" s="34">
        <v>1</v>
      </c>
      <c r="B12" s="38">
        <f>VLOOKUP(A12,OPTIONS!A:C,2,FALSE)</f>
        <v>45656</v>
      </c>
      <c r="C12" s="28" t="s">
        <v>49</v>
      </c>
      <c r="D12" s="19" t="s">
        <v>186</v>
      </c>
      <c r="E12" s="19" t="s">
        <v>187</v>
      </c>
      <c r="F12" s="19" t="s">
        <v>21</v>
      </c>
      <c r="G12" s="31">
        <v>170</v>
      </c>
      <c r="H12" s="19" t="s">
        <v>80</v>
      </c>
      <c r="I12" s="28"/>
      <c r="J12" s="28"/>
      <c r="K12" s="39">
        <f>VLOOKUP(A12,OPTIONS!A:C,3,FALSE)*G12</f>
        <v>5270</v>
      </c>
      <c r="L12" s="39" t="str">
        <f t="shared" si="0"/>
        <v>170 g Poulet en lanières</v>
      </c>
      <c r="M12" s="39" t="str">
        <f t="shared" si="1"/>
        <v>5270 g Poulet en lanières</v>
      </c>
      <c r="N12" s="39" t="str">
        <f t="shared" si="2"/>
        <v>Poulet en lanières (g)</v>
      </c>
    </row>
    <row r="13" spans="1:14" x14ac:dyDescent="0.3">
      <c r="A13" s="34">
        <v>1</v>
      </c>
      <c r="B13" s="38">
        <f>VLOOKUP(A13,OPTIONS!A:C,2,FALSE)</f>
        <v>45656</v>
      </c>
      <c r="C13" s="28" t="s">
        <v>49</v>
      </c>
      <c r="D13" s="19" t="s">
        <v>186</v>
      </c>
      <c r="E13" s="19" t="s">
        <v>188</v>
      </c>
      <c r="F13" s="19" t="s">
        <v>24</v>
      </c>
      <c r="G13" s="31">
        <v>62</v>
      </c>
      <c r="H13" s="19" t="s">
        <v>15</v>
      </c>
      <c r="I13" s="28"/>
      <c r="J13" s="28"/>
      <c r="K13" s="39">
        <f>VLOOKUP(A13,OPTIONS!A:C,3,FALSE)*G13</f>
        <v>1922</v>
      </c>
      <c r="L13" s="39" t="str">
        <f t="shared" si="0"/>
        <v>62 ml Crème sûre</v>
      </c>
      <c r="M13" s="39" t="str">
        <f t="shared" si="1"/>
        <v>1922 ml Crème sûre</v>
      </c>
      <c r="N13" s="39" t="str">
        <f t="shared" si="2"/>
        <v>Crème sûre (ml)</v>
      </c>
    </row>
    <row r="14" spans="1:14" x14ac:dyDescent="0.3">
      <c r="A14" s="34">
        <v>1</v>
      </c>
      <c r="B14" s="38">
        <f>VLOOKUP(A14,OPTIONS!A:C,2,FALSE)</f>
        <v>45656</v>
      </c>
      <c r="C14" s="28" t="s">
        <v>49</v>
      </c>
      <c r="D14" s="19" t="s">
        <v>186</v>
      </c>
      <c r="E14" s="19" t="s">
        <v>137</v>
      </c>
      <c r="F14" s="19" t="s">
        <v>24</v>
      </c>
      <c r="G14" s="31">
        <v>80</v>
      </c>
      <c r="H14" s="19" t="s">
        <v>15</v>
      </c>
      <c r="I14" s="28"/>
      <c r="J14" s="28"/>
      <c r="K14" s="39">
        <f>VLOOKUP(A14,OPTIONS!A:C,3,FALSE)*G14</f>
        <v>2480</v>
      </c>
      <c r="L14" s="39" t="str">
        <f t="shared" si="0"/>
        <v>80 ml Salsa</v>
      </c>
      <c r="M14" s="39" t="str">
        <f t="shared" si="1"/>
        <v>2480 ml Salsa</v>
      </c>
      <c r="N14" s="39" t="str">
        <f t="shared" si="2"/>
        <v>Salsa (ml)</v>
      </c>
    </row>
    <row r="15" spans="1:14" x14ac:dyDescent="0.3">
      <c r="A15" s="34">
        <v>1</v>
      </c>
      <c r="B15" s="38">
        <f>VLOOKUP(A15,OPTIONS!A:C,2,FALSE)</f>
        <v>45656</v>
      </c>
      <c r="C15" s="28" t="s">
        <v>49</v>
      </c>
      <c r="D15" s="19" t="s">
        <v>186</v>
      </c>
      <c r="E15" s="19" t="s">
        <v>189</v>
      </c>
      <c r="F15" s="19" t="s">
        <v>26</v>
      </c>
      <c r="G15" s="31">
        <v>56</v>
      </c>
      <c r="H15" s="19" t="s">
        <v>15</v>
      </c>
      <c r="I15" s="28"/>
      <c r="J15" s="28"/>
      <c r="K15" s="39">
        <f>VLOOKUP(A15,OPTIONS!A:C,3,FALSE)*G15</f>
        <v>1736</v>
      </c>
      <c r="L15" s="39" t="str">
        <f t="shared" si="0"/>
        <v>56 ml Olives</v>
      </c>
      <c r="M15" s="39" t="str">
        <f t="shared" si="1"/>
        <v>1736 ml Olives</v>
      </c>
      <c r="N15" s="39" t="str">
        <f t="shared" si="2"/>
        <v>Olives (ml)</v>
      </c>
    </row>
    <row r="16" spans="1:14" x14ac:dyDescent="0.3">
      <c r="A16" s="34">
        <v>1</v>
      </c>
      <c r="B16" s="38">
        <f>VLOOKUP(A16,OPTIONS!A:C,2,FALSE)</f>
        <v>45656</v>
      </c>
      <c r="C16" s="28" t="s">
        <v>49</v>
      </c>
      <c r="D16" s="19" t="s">
        <v>186</v>
      </c>
      <c r="E16" s="19" t="s">
        <v>174</v>
      </c>
      <c r="F16" s="19" t="s">
        <v>26</v>
      </c>
      <c r="G16" s="31">
        <v>0.33</v>
      </c>
      <c r="H16" s="19" t="s">
        <v>83</v>
      </c>
      <c r="I16" s="28"/>
      <c r="J16" s="28"/>
      <c r="K16" s="39">
        <f>VLOOKUP(A16,OPTIONS!A:C,3,FALSE)*G16</f>
        <v>10.23</v>
      </c>
      <c r="L16" s="39" t="str">
        <f t="shared" si="0"/>
        <v>0.33 unité Tomate</v>
      </c>
      <c r="M16" s="39" t="str">
        <f t="shared" si="1"/>
        <v>10.23 unité Tomate</v>
      </c>
      <c r="N16" s="39" t="str">
        <f t="shared" si="2"/>
        <v>Tomate (unité)</v>
      </c>
    </row>
    <row r="17" spans="1:14" x14ac:dyDescent="0.3">
      <c r="A17" s="34">
        <v>1</v>
      </c>
      <c r="B17" s="38">
        <f>VLOOKUP(A17,OPTIONS!A:C,2,FALSE)</f>
        <v>45656</v>
      </c>
      <c r="C17" s="28" t="s">
        <v>49</v>
      </c>
      <c r="D17" s="19" t="s">
        <v>186</v>
      </c>
      <c r="E17" s="19" t="s">
        <v>71</v>
      </c>
      <c r="F17" s="19" t="s">
        <v>26</v>
      </c>
      <c r="G17" s="31">
        <v>0.125</v>
      </c>
      <c r="H17" s="19" t="s">
        <v>18</v>
      </c>
      <c r="I17" s="28"/>
      <c r="J17" s="28"/>
      <c r="K17" s="39">
        <f>VLOOKUP(A17,OPTIONS!A:C,3,FALSE)*G17</f>
        <v>3.875</v>
      </c>
      <c r="L17" s="39" t="str">
        <f t="shared" si="0"/>
        <v>0.125 Unité Laitue iceberg</v>
      </c>
      <c r="M17" s="39" t="str">
        <f t="shared" si="1"/>
        <v>3.875 Unité Laitue iceberg</v>
      </c>
      <c r="N17" s="39" t="str">
        <f t="shared" si="2"/>
        <v>Laitue iceberg (Unité)</v>
      </c>
    </row>
    <row r="18" spans="1:14" x14ac:dyDescent="0.3">
      <c r="A18" s="34">
        <v>1</v>
      </c>
      <c r="B18" s="38">
        <f>VLOOKUP(A18,OPTIONS!A:C,2,FALSE)</f>
        <v>45656</v>
      </c>
      <c r="C18" s="28" t="s">
        <v>49</v>
      </c>
      <c r="D18" s="19" t="s">
        <v>186</v>
      </c>
      <c r="E18" s="19" t="s">
        <v>190</v>
      </c>
      <c r="F18" s="19" t="s">
        <v>14</v>
      </c>
      <c r="G18" s="31">
        <v>30</v>
      </c>
      <c r="H18" s="19" t="s">
        <v>80</v>
      </c>
      <c r="I18" s="28"/>
      <c r="J18" s="28"/>
      <c r="K18" s="39">
        <f>VLOOKUP(A18,OPTIONS!A:C,3,FALSE)*G18</f>
        <v>930</v>
      </c>
      <c r="L18" s="39" t="str">
        <f t="shared" si="0"/>
        <v>30 g Mozarella</v>
      </c>
      <c r="M18" s="39" t="str">
        <f t="shared" si="1"/>
        <v>930 g Mozarella</v>
      </c>
      <c r="N18" s="39" t="str">
        <f t="shared" si="2"/>
        <v>Mozarella (g)</v>
      </c>
    </row>
    <row r="19" spans="1:14" x14ac:dyDescent="0.3">
      <c r="A19" s="34">
        <v>1</v>
      </c>
      <c r="B19" s="38">
        <f>VLOOKUP(A19,OPTIONS!A:C,2,FALSE)</f>
        <v>45656</v>
      </c>
      <c r="C19" s="28" t="s">
        <v>49</v>
      </c>
      <c r="D19" s="19" t="s">
        <v>186</v>
      </c>
      <c r="E19" s="19" t="s">
        <v>75</v>
      </c>
      <c r="F19" s="19" t="s">
        <v>26</v>
      </c>
      <c r="G19" s="31">
        <v>0.15</v>
      </c>
      <c r="H19" s="19" t="s">
        <v>83</v>
      </c>
      <c r="I19" s="28"/>
      <c r="J19" s="28"/>
      <c r="K19" s="39">
        <f>VLOOKUP(A19,OPTIONS!A:C,3,FALSE)*G19</f>
        <v>4.6499999999999995</v>
      </c>
      <c r="L19" s="39" t="str">
        <f t="shared" si="0"/>
        <v>0.15 unité Oignon rouge</v>
      </c>
      <c r="M19" s="39" t="str">
        <f t="shared" si="1"/>
        <v>4.65 unité Oignon rouge</v>
      </c>
      <c r="N19" s="39" t="str">
        <f t="shared" si="2"/>
        <v>Oignon rouge (unité)</v>
      </c>
    </row>
    <row r="20" spans="1:14" x14ac:dyDescent="0.3">
      <c r="A20" s="34">
        <v>1</v>
      </c>
      <c r="B20" s="38">
        <f>VLOOKUP(A20,OPTIONS!A:C,2,FALSE)</f>
        <v>45656</v>
      </c>
      <c r="C20" s="28" t="s">
        <v>49</v>
      </c>
      <c r="D20" s="19" t="s">
        <v>186</v>
      </c>
      <c r="E20" s="19" t="s">
        <v>84</v>
      </c>
      <c r="F20" s="19" t="s">
        <v>26</v>
      </c>
      <c r="G20" s="31">
        <v>0.15</v>
      </c>
      <c r="H20" s="19" t="s">
        <v>83</v>
      </c>
      <c r="I20" s="28"/>
      <c r="J20" s="28"/>
      <c r="K20" s="39">
        <f>VLOOKUP(A20,OPTIONS!A:C,3,FALSE)*G20</f>
        <v>4.6499999999999995</v>
      </c>
      <c r="L20" s="39" t="str">
        <f t="shared" si="0"/>
        <v>0.15 unité Poivron jaune</v>
      </c>
      <c r="M20" s="39" t="str">
        <f t="shared" si="1"/>
        <v>4.65 unité Poivron jaune</v>
      </c>
      <c r="N20" s="39" t="str">
        <f t="shared" si="2"/>
        <v>Poivron jaune (unité)</v>
      </c>
    </row>
    <row r="21" spans="1:14" x14ac:dyDescent="0.3">
      <c r="A21" s="34">
        <v>1</v>
      </c>
      <c r="B21" s="38">
        <f>VLOOKUP(A21,OPTIONS!A:C,2,FALSE)</f>
        <v>45656</v>
      </c>
      <c r="C21" s="28" t="s">
        <v>49</v>
      </c>
      <c r="D21" s="19" t="s">
        <v>186</v>
      </c>
      <c r="E21" s="19" t="s">
        <v>82</v>
      </c>
      <c r="F21" s="19" t="s">
        <v>26</v>
      </c>
      <c r="G21" s="31">
        <v>0.15</v>
      </c>
      <c r="H21" s="19" t="s">
        <v>83</v>
      </c>
      <c r="I21" s="28"/>
      <c r="J21" s="28"/>
      <c r="K21" s="39">
        <f>VLOOKUP(A21,OPTIONS!A:C,3,FALSE)*G21</f>
        <v>4.6499999999999995</v>
      </c>
      <c r="L21" s="39" t="str">
        <f t="shared" si="0"/>
        <v>0.15 unité Poivron rouge</v>
      </c>
      <c r="M21" s="39" t="str">
        <f t="shared" si="1"/>
        <v>4.65 unité Poivron rouge</v>
      </c>
      <c r="N21" s="39" t="str">
        <f t="shared" si="2"/>
        <v>Poivron rouge (unité)</v>
      </c>
    </row>
    <row r="22" spans="1:14" x14ac:dyDescent="0.3">
      <c r="A22" s="34">
        <v>2</v>
      </c>
      <c r="B22" s="38">
        <f>VLOOKUP(A22,OPTIONS!A:C,2,FALSE)</f>
        <v>45657</v>
      </c>
      <c r="C22" s="28" t="s">
        <v>41</v>
      </c>
      <c r="D22" s="19" t="s">
        <v>310</v>
      </c>
      <c r="E22" s="19" t="s">
        <v>124</v>
      </c>
      <c r="F22" s="19" t="s">
        <v>14</v>
      </c>
      <c r="G22" s="31">
        <v>1.2</v>
      </c>
      <c r="H22" s="19" t="s">
        <v>83</v>
      </c>
      <c r="I22" s="28"/>
      <c r="J22" s="28"/>
      <c r="K22" s="39">
        <f>VLOOKUP(A22,OPTIONS!A:C,3,FALSE)*G22</f>
        <v>37.199999999999996</v>
      </c>
      <c r="L22" s="39" t="str">
        <f t="shared" si="0"/>
        <v>1.2 unité Œufs</v>
      </c>
      <c r="M22" s="39" t="str">
        <f t="shared" si="1"/>
        <v>37.2 unité Œufs</v>
      </c>
      <c r="N22" s="39" t="str">
        <f t="shared" si="2"/>
        <v>Œufs (unité)</v>
      </c>
    </row>
    <row r="23" spans="1:14" x14ac:dyDescent="0.3">
      <c r="A23" s="34">
        <v>2</v>
      </c>
      <c r="B23" s="38">
        <f>VLOOKUP(A23,OPTIONS!A:C,2,FALSE)</f>
        <v>45657</v>
      </c>
      <c r="C23" s="28" t="s">
        <v>41</v>
      </c>
      <c r="D23" s="19" t="s">
        <v>465</v>
      </c>
      <c r="E23" s="19" t="s">
        <v>38</v>
      </c>
      <c r="F23" s="19" t="s">
        <v>19</v>
      </c>
      <c r="G23" s="31">
        <v>1</v>
      </c>
      <c r="H23" s="19" t="s">
        <v>18</v>
      </c>
      <c r="I23" s="28"/>
      <c r="J23" s="28"/>
      <c r="K23" s="39">
        <f>VLOOKUP(A23,OPTIONS!A:C,3,FALSE)*G23</f>
        <v>31</v>
      </c>
      <c r="L23" s="39" t="str">
        <f t="shared" si="0"/>
        <v>1 Unité Toasts</v>
      </c>
      <c r="M23" s="39" t="str">
        <f t="shared" si="1"/>
        <v>31 Unité Toasts</v>
      </c>
      <c r="N23" s="39" t="str">
        <f t="shared" si="2"/>
        <v>Toasts (Unité)</v>
      </c>
    </row>
    <row r="24" spans="1:14" x14ac:dyDescent="0.3">
      <c r="A24" s="34">
        <v>2</v>
      </c>
      <c r="B24" s="38">
        <f>VLOOKUP(A24,OPTIONS!A:C,2,FALSE)</f>
        <v>45657</v>
      </c>
      <c r="C24" s="28" t="s">
        <v>41</v>
      </c>
      <c r="D24" s="19" t="s">
        <v>465</v>
      </c>
      <c r="E24" s="19" t="s">
        <v>39</v>
      </c>
      <c r="F24" s="19" t="s">
        <v>24</v>
      </c>
      <c r="G24" s="31">
        <v>20</v>
      </c>
      <c r="H24" s="19" t="s">
        <v>15</v>
      </c>
      <c r="I24" s="28"/>
      <c r="J24" s="28"/>
      <c r="K24" s="39">
        <f>VLOOKUP(A24,OPTIONS!A:C,3,FALSE)*G24</f>
        <v>620</v>
      </c>
      <c r="L24" s="39" t="str">
        <f t="shared" si="0"/>
        <v>20 ml Peanut butter</v>
      </c>
      <c r="M24" s="39" t="str">
        <f t="shared" si="1"/>
        <v>620 ml Peanut butter</v>
      </c>
      <c r="N24" s="39" t="str">
        <f t="shared" si="2"/>
        <v>Peanut butter (ml)</v>
      </c>
    </row>
    <row r="25" spans="1:14" x14ac:dyDescent="0.3">
      <c r="A25" s="34">
        <v>2</v>
      </c>
      <c r="B25" s="38">
        <f>VLOOKUP(A25,OPTIONS!A:C,2,FALSE)</f>
        <v>45657</v>
      </c>
      <c r="C25" s="28" t="s">
        <v>41</v>
      </c>
      <c r="D25" s="19" t="s">
        <v>465</v>
      </c>
      <c r="E25" s="19" t="s">
        <v>40</v>
      </c>
      <c r="F25" s="19" t="s">
        <v>24</v>
      </c>
      <c r="G25" s="31">
        <v>20</v>
      </c>
      <c r="H25" s="19" t="s">
        <v>15</v>
      </c>
      <c r="I25" s="28"/>
      <c r="J25" s="28"/>
      <c r="K25" s="39">
        <f>VLOOKUP(A25,OPTIONS!A:C,3,FALSE)*G25</f>
        <v>620</v>
      </c>
      <c r="L25" s="39" t="str">
        <f t="shared" si="0"/>
        <v>20 ml Nutella</v>
      </c>
      <c r="M25" s="39" t="str">
        <f t="shared" si="1"/>
        <v>620 ml Nutella</v>
      </c>
      <c r="N25" s="39" t="str">
        <f t="shared" si="2"/>
        <v>Nutella (ml)</v>
      </c>
    </row>
    <row r="26" spans="1:14" x14ac:dyDescent="0.3">
      <c r="A26" s="34">
        <v>2</v>
      </c>
      <c r="B26" s="38">
        <f>VLOOKUP(A26,OPTIONS!A:C,2,FALSE)</f>
        <v>45657</v>
      </c>
      <c r="C26" s="28" t="s">
        <v>41</v>
      </c>
      <c r="D26" s="19" t="s">
        <v>465</v>
      </c>
      <c r="E26" s="19" t="s">
        <v>466</v>
      </c>
      <c r="F26" s="19" t="s">
        <v>19</v>
      </c>
      <c r="G26" s="31">
        <v>1</v>
      </c>
      <c r="H26" s="19" t="s">
        <v>18</v>
      </c>
      <c r="I26" s="28"/>
      <c r="J26" s="28"/>
      <c r="K26" s="39">
        <f>VLOOKUP(A26,OPTIONS!A:C,3,FALSE)*G26</f>
        <v>31</v>
      </c>
      <c r="L26" s="39" t="str">
        <f t="shared" si="0"/>
        <v>1 Unité Gaufre</v>
      </c>
      <c r="M26" s="39" t="str">
        <f t="shared" si="1"/>
        <v>31 Unité Gaufre</v>
      </c>
      <c r="N26" s="39" t="str">
        <f t="shared" si="2"/>
        <v>Gaufre (Unité)</v>
      </c>
    </row>
    <row r="27" spans="1:14" x14ac:dyDescent="0.3">
      <c r="A27" s="34">
        <v>2</v>
      </c>
      <c r="B27" s="38">
        <f>VLOOKUP(A27,OPTIONS!A:C,2,FALSE)</f>
        <v>45657</v>
      </c>
      <c r="C27" s="28" t="s">
        <v>41</v>
      </c>
      <c r="D27" s="19" t="s">
        <v>465</v>
      </c>
      <c r="E27" s="19" t="s">
        <v>210</v>
      </c>
      <c r="F27" s="19" t="s">
        <v>26</v>
      </c>
      <c r="G27" s="31" t="s">
        <v>431</v>
      </c>
      <c r="H27" s="19" t="s">
        <v>18</v>
      </c>
      <c r="I27" s="28"/>
      <c r="J27" s="28"/>
      <c r="K27" s="39">
        <f>VLOOKUP(A27,OPTIONS!A:C,3,FALSE)*G27</f>
        <v>15.5</v>
      </c>
      <c r="L27" s="39" t="str">
        <f t="shared" si="0"/>
        <v>0.5 Unité Banane</v>
      </c>
      <c r="M27" s="39" t="str">
        <f t="shared" si="1"/>
        <v>15.5 Unité Banane</v>
      </c>
      <c r="N27" s="39" t="str">
        <f t="shared" si="2"/>
        <v>Banane (Unité)</v>
      </c>
    </row>
    <row r="28" spans="1:14" x14ac:dyDescent="0.3">
      <c r="A28" s="34">
        <v>2</v>
      </c>
      <c r="B28" s="38">
        <f>VLOOKUP(A28,OPTIONS!A:C,2,FALSE)</f>
        <v>45657</v>
      </c>
      <c r="C28" s="28" t="s">
        <v>41</v>
      </c>
      <c r="D28" s="19" t="s">
        <v>465</v>
      </c>
      <c r="E28" s="19" t="s">
        <v>467</v>
      </c>
      <c r="F28" s="19" t="s">
        <v>26</v>
      </c>
      <c r="G28" s="31">
        <v>4</v>
      </c>
      <c r="H28" s="19" t="s">
        <v>18</v>
      </c>
      <c r="I28" s="28"/>
      <c r="J28" s="28"/>
      <c r="K28" s="39">
        <f>VLOOKUP(A28,OPTIONS!A:C,3,FALSE)*G28</f>
        <v>124</v>
      </c>
      <c r="L28" s="39" t="str">
        <f t="shared" si="0"/>
        <v>4 Unité Fraises</v>
      </c>
      <c r="M28" s="39" t="str">
        <f t="shared" si="1"/>
        <v>124 Unité Fraises</v>
      </c>
      <c r="N28" s="39" t="str">
        <f t="shared" si="2"/>
        <v>Fraises (Unité)</v>
      </c>
    </row>
    <row r="29" spans="1:14" x14ac:dyDescent="0.3">
      <c r="A29" s="34">
        <v>2</v>
      </c>
      <c r="B29" s="38">
        <f>VLOOKUP(A29,OPTIONS!A:C,2,FALSE)</f>
        <v>45657</v>
      </c>
      <c r="C29" s="28" t="s">
        <v>41</v>
      </c>
      <c r="D29" s="19" t="s">
        <v>465</v>
      </c>
      <c r="E29" s="19" t="s">
        <v>167</v>
      </c>
      <c r="F29" s="19" t="s">
        <v>24</v>
      </c>
      <c r="G29" s="31">
        <v>40</v>
      </c>
      <c r="H29" s="19" t="s">
        <v>15</v>
      </c>
      <c r="I29" s="28"/>
      <c r="J29" s="28"/>
      <c r="K29" s="39">
        <f>VLOOKUP(A29,OPTIONS!A:C,3,FALSE)*G29</f>
        <v>1240</v>
      </c>
      <c r="L29" s="39" t="str">
        <f t="shared" si="0"/>
        <v>40 ml Sirop d'érable</v>
      </c>
      <c r="M29" s="39" t="str">
        <f t="shared" si="1"/>
        <v>1240 ml Sirop d'érable</v>
      </c>
      <c r="N29" s="39" t="str">
        <f t="shared" si="2"/>
        <v>Sirop d'érable (ml)</v>
      </c>
    </row>
    <row r="30" spans="1:14" x14ac:dyDescent="0.3">
      <c r="A30" s="34">
        <v>2</v>
      </c>
      <c r="B30" s="38">
        <f>VLOOKUP(A30,OPTIONS!A:C,2,FALSE)</f>
        <v>45657</v>
      </c>
      <c r="C30" s="28" t="s">
        <v>16</v>
      </c>
      <c r="D30" s="19" t="s">
        <v>226</v>
      </c>
      <c r="E30" s="19" t="s">
        <v>397</v>
      </c>
      <c r="F30" s="19" t="s">
        <v>24</v>
      </c>
      <c r="G30" s="31">
        <v>40</v>
      </c>
      <c r="H30" s="19" t="s">
        <v>80</v>
      </c>
      <c r="I30" s="28"/>
      <c r="J30" s="28"/>
      <c r="K30" s="39">
        <f>VLOOKUP(A30,OPTIONS!A:C,3,FALSE)*G30</f>
        <v>1240</v>
      </c>
      <c r="L30" s="39" t="str">
        <f t="shared" ref="L30:L31" si="3">TRIM(CONCATENATE(G30," ", $H30, " ", $E30))</f>
        <v>40 g Chips Type 1</v>
      </c>
      <c r="M30" s="39" t="str">
        <f t="shared" ref="M30:M31" si="4">TRIM(CONCATENATE(K30," ", $H30, " ", $E30))</f>
        <v>1240 g Chips Type 1</v>
      </c>
      <c r="N30" s="39" t="str">
        <f t="shared" ref="N30:N31" si="5">CONCATENATE(E30, " (", TRIM(H30), ")")</f>
        <v>Chips Type 1 (g)</v>
      </c>
    </row>
    <row r="31" spans="1:14" x14ac:dyDescent="0.3">
      <c r="A31" s="34">
        <v>2</v>
      </c>
      <c r="B31" s="38">
        <f>VLOOKUP(A31,OPTIONS!A:C,2,FALSE)</f>
        <v>45657</v>
      </c>
      <c r="C31" s="28" t="s">
        <v>16</v>
      </c>
      <c r="D31" s="19" t="s">
        <v>226</v>
      </c>
      <c r="E31" s="19" t="s">
        <v>398</v>
      </c>
      <c r="F31" s="19" t="s">
        <v>24</v>
      </c>
      <c r="G31" s="31">
        <v>40</v>
      </c>
      <c r="H31" s="19" t="s">
        <v>80</v>
      </c>
      <c r="I31" s="28"/>
      <c r="J31" s="28"/>
      <c r="K31" s="39">
        <f>VLOOKUP(A31,OPTIONS!A:C,3,FALSE)*G31</f>
        <v>1240</v>
      </c>
      <c r="L31" s="39" t="str">
        <f t="shared" si="3"/>
        <v>40 g Chips Type 2</v>
      </c>
      <c r="M31" s="39" t="str">
        <f t="shared" si="4"/>
        <v>1240 g Chips Type 2</v>
      </c>
      <c r="N31" s="39" t="str">
        <f t="shared" si="5"/>
        <v>Chips Type 2 (g)</v>
      </c>
    </row>
    <row r="32" spans="1:14" x14ac:dyDescent="0.3">
      <c r="A32" s="34">
        <v>2</v>
      </c>
      <c r="B32" s="38">
        <f>VLOOKUP(A32,OPTIONS!A:C,2,FALSE)</f>
        <v>45657</v>
      </c>
      <c r="C32" s="28" t="s">
        <v>16</v>
      </c>
      <c r="D32" s="19" t="s">
        <v>226</v>
      </c>
      <c r="E32" s="19" t="s">
        <v>399</v>
      </c>
      <c r="F32" s="19" t="s">
        <v>24</v>
      </c>
      <c r="G32" s="31">
        <v>40</v>
      </c>
      <c r="H32" s="19" t="s">
        <v>80</v>
      </c>
      <c r="I32" s="28"/>
      <c r="J32" s="28"/>
      <c r="K32" s="39">
        <f>VLOOKUP(A32,OPTIONS!A:C,3,FALSE)*G32</f>
        <v>1240</v>
      </c>
      <c r="L32" s="39" t="str">
        <f t="shared" ref="L32:L88" si="6">TRIM(CONCATENATE(G32," ", $H32, " ", $E32))</f>
        <v>40 g Chips Type 3</v>
      </c>
      <c r="M32" s="39" t="str">
        <f t="shared" ref="M32:M88" si="7">TRIM(CONCATENATE(K32," ", $H32, " ", $E32))</f>
        <v>1240 g Chips Type 3</v>
      </c>
      <c r="N32" s="39" t="str">
        <f t="shared" ref="N32:N88" si="8">CONCATENATE(E32, " (", TRIM(H32), ")")</f>
        <v>Chips Type 3 (g)</v>
      </c>
    </row>
    <row r="33" spans="1:14" x14ac:dyDescent="0.3">
      <c r="A33" s="34">
        <v>2</v>
      </c>
      <c r="B33" s="38">
        <f>VLOOKUP(A33,OPTIONS!A:C,2,FALSE)</f>
        <v>45657</v>
      </c>
      <c r="C33" s="28" t="s">
        <v>16</v>
      </c>
      <c r="D33" s="19" t="s">
        <v>226</v>
      </c>
      <c r="E33" s="19" t="s">
        <v>400</v>
      </c>
      <c r="F33" s="19" t="s">
        <v>24</v>
      </c>
      <c r="G33" s="31">
        <v>40</v>
      </c>
      <c r="H33" s="19" t="s">
        <v>80</v>
      </c>
      <c r="I33" s="28"/>
      <c r="J33" s="28"/>
      <c r="K33" s="39">
        <f>VLOOKUP(A33,OPTIONS!A:C,3,FALSE)*G33</f>
        <v>1240</v>
      </c>
      <c r="L33" s="39" t="str">
        <f t="shared" si="6"/>
        <v>40 g Chips Type 4</v>
      </c>
      <c r="M33" s="39" t="str">
        <f t="shared" si="7"/>
        <v>1240 g Chips Type 4</v>
      </c>
      <c r="N33" s="39" t="str">
        <f t="shared" si="8"/>
        <v>Chips Type 4 (g)</v>
      </c>
    </row>
    <row r="34" spans="1:14" x14ac:dyDescent="0.3">
      <c r="A34" s="34">
        <v>2</v>
      </c>
      <c r="B34" s="38">
        <f>VLOOKUP(A34,OPTIONS!A:C,2,FALSE)</f>
        <v>45657</v>
      </c>
      <c r="C34" s="28" t="s">
        <v>41</v>
      </c>
      <c r="D34" s="19" t="s">
        <v>163</v>
      </c>
      <c r="E34" s="19" t="s">
        <v>38</v>
      </c>
      <c r="F34" s="19" t="s">
        <v>19</v>
      </c>
      <c r="G34" s="31">
        <v>1.5</v>
      </c>
      <c r="H34" s="19" t="s">
        <v>18</v>
      </c>
      <c r="I34" s="28"/>
      <c r="J34" s="28"/>
      <c r="K34" s="39">
        <f>VLOOKUP(A34,OPTIONS!A:C,3,FALSE)*G34</f>
        <v>46.5</v>
      </c>
      <c r="L34" s="39" t="str">
        <f t="shared" si="6"/>
        <v>1.5 Unité Toasts</v>
      </c>
      <c r="M34" s="39" t="str">
        <f t="shared" si="7"/>
        <v>46.5 Unité Toasts</v>
      </c>
      <c r="N34" s="39" t="str">
        <f t="shared" si="8"/>
        <v>Toasts (Unité)</v>
      </c>
    </row>
    <row r="35" spans="1:14" x14ac:dyDescent="0.3">
      <c r="A35" s="34">
        <v>2</v>
      </c>
      <c r="B35" s="38">
        <f>VLOOKUP(A35,OPTIONS!A:C,2,FALSE)</f>
        <v>45657</v>
      </c>
      <c r="C35" s="28" t="s">
        <v>16</v>
      </c>
      <c r="D35" s="19" t="s">
        <v>130</v>
      </c>
      <c r="E35" s="19" t="s">
        <v>131</v>
      </c>
      <c r="F35" s="19" t="s">
        <v>24</v>
      </c>
      <c r="G35" s="31">
        <v>2</v>
      </c>
      <c r="H35" s="19" t="s">
        <v>132</v>
      </c>
      <c r="I35" s="28"/>
      <c r="J35" s="28"/>
      <c r="K35" s="39">
        <f>VLOOKUP(A35,OPTIONS!A:C,3,FALSE)*G35</f>
        <v>62</v>
      </c>
      <c r="L35" s="39" t="str">
        <f t="shared" si="6"/>
        <v>2 Sacs au total Tostitos</v>
      </c>
      <c r="M35" s="39" t="str">
        <f t="shared" si="7"/>
        <v>62 Sacs au total Tostitos</v>
      </c>
      <c r="N35" s="39" t="str">
        <f t="shared" si="8"/>
        <v>Tostitos (Sacs au total)</v>
      </c>
    </row>
    <row r="36" spans="1:14" x14ac:dyDescent="0.3">
      <c r="A36" s="34">
        <v>2</v>
      </c>
      <c r="B36" s="38">
        <f>VLOOKUP(A36,OPTIONS!A:C,2,FALSE)</f>
        <v>45657</v>
      </c>
      <c r="C36" s="28" t="s">
        <v>16</v>
      </c>
      <c r="D36" s="19" t="s">
        <v>130</v>
      </c>
      <c r="E36" s="19" t="s">
        <v>133</v>
      </c>
      <c r="F36" s="19" t="s">
        <v>24</v>
      </c>
      <c r="G36" s="31">
        <v>9.375E-2</v>
      </c>
      <c r="H36" s="19" t="s">
        <v>134</v>
      </c>
      <c r="I36" s="28"/>
      <c r="J36" s="28"/>
      <c r="K36" s="39">
        <f>VLOOKUP(A36,OPTIONS!A:C,3,FALSE)*G36</f>
        <v>2.90625</v>
      </c>
      <c r="L36" s="39" t="str">
        <f t="shared" si="6"/>
        <v>0.09375 canettes Olives tranchés</v>
      </c>
      <c r="M36" s="39" t="str">
        <f t="shared" si="7"/>
        <v>2.90625 canettes Olives tranchés</v>
      </c>
      <c r="N36" s="39" t="str">
        <f t="shared" si="8"/>
        <v>Olives tranchés (canettes)</v>
      </c>
    </row>
    <row r="37" spans="1:14" x14ac:dyDescent="0.3">
      <c r="A37" s="34">
        <v>2</v>
      </c>
      <c r="B37" s="38">
        <f>VLOOKUP(A37,OPTIONS!A:C,2,FALSE)</f>
        <v>45657</v>
      </c>
      <c r="C37" s="28" t="s">
        <v>16</v>
      </c>
      <c r="D37" s="19" t="s">
        <v>130</v>
      </c>
      <c r="E37" s="19" t="s">
        <v>137</v>
      </c>
      <c r="F37" s="19" t="s">
        <v>24</v>
      </c>
      <c r="G37" s="31">
        <v>3.125E-2</v>
      </c>
      <c r="H37" s="19" t="s">
        <v>138</v>
      </c>
      <c r="I37" s="28"/>
      <c r="J37" s="28"/>
      <c r="K37" s="39">
        <f>VLOOKUP(A37,OPTIONS!A:C,3,FALSE)*G37</f>
        <v>0.96875</v>
      </c>
      <c r="L37" s="39" t="str">
        <f t="shared" si="6"/>
        <v>0.03125 pot Salsa</v>
      </c>
      <c r="M37" s="39" t="str">
        <f t="shared" si="7"/>
        <v>0.96875 pot Salsa</v>
      </c>
      <c r="N37" s="39" t="str">
        <f t="shared" si="8"/>
        <v>Salsa (pot)</v>
      </c>
    </row>
    <row r="38" spans="1:14" x14ac:dyDescent="0.3">
      <c r="A38" s="34">
        <v>2</v>
      </c>
      <c r="B38" s="38">
        <f>VLOOKUP(A38,OPTIONS!A:C,2,FALSE)</f>
        <v>45657</v>
      </c>
      <c r="C38" s="28" t="s">
        <v>16</v>
      </c>
      <c r="D38" s="19" t="s">
        <v>130</v>
      </c>
      <c r="E38" s="19" t="s">
        <v>139</v>
      </c>
      <c r="F38" s="19" t="s">
        <v>14</v>
      </c>
      <c r="G38" s="31">
        <v>3.125E-2</v>
      </c>
      <c r="H38" s="19" t="s">
        <v>138</v>
      </c>
      <c r="I38" s="28"/>
      <c r="J38" s="28"/>
      <c r="K38" s="39">
        <f>VLOOKUP(A38,OPTIONS!A:C,3,FALSE)*G38</f>
        <v>0.96875</v>
      </c>
      <c r="L38" s="39" t="str">
        <f t="shared" si="6"/>
        <v>0.03125 pot Crème sure</v>
      </c>
      <c r="M38" s="39" t="str">
        <f t="shared" si="7"/>
        <v>0.96875 pot Crème sure</v>
      </c>
      <c r="N38" s="39" t="str">
        <f t="shared" si="8"/>
        <v>Crème sure (pot)</v>
      </c>
    </row>
    <row r="39" spans="1:14" x14ac:dyDescent="0.3">
      <c r="A39" s="34">
        <v>2</v>
      </c>
      <c r="B39" s="38">
        <f>VLOOKUP(A39,OPTIONS!A:C,2,FALSE)</f>
        <v>45657</v>
      </c>
      <c r="C39" s="28" t="s">
        <v>16</v>
      </c>
      <c r="D39" s="19" t="s">
        <v>130</v>
      </c>
      <c r="E39" s="19" t="s">
        <v>140</v>
      </c>
      <c r="F39" s="19" t="s">
        <v>14</v>
      </c>
      <c r="G39" s="31">
        <v>15</v>
      </c>
      <c r="H39" s="19" t="s">
        <v>22</v>
      </c>
      <c r="I39" s="28"/>
      <c r="J39" s="28"/>
      <c r="K39" s="39">
        <f>VLOOKUP(A39,OPTIONS!A:C,3,FALSE)*G39</f>
        <v>465</v>
      </c>
      <c r="L39" s="39" t="str">
        <f t="shared" si="6"/>
        <v>15 gr Fromage rapé</v>
      </c>
      <c r="M39" s="39" t="str">
        <f t="shared" si="7"/>
        <v>465 gr Fromage rapé</v>
      </c>
      <c r="N39" s="39" t="str">
        <f t="shared" si="8"/>
        <v>Fromage rapé (gr)</v>
      </c>
    </row>
    <row r="40" spans="1:14" x14ac:dyDescent="0.3">
      <c r="A40" s="34">
        <v>2</v>
      </c>
      <c r="B40" s="38">
        <f>VLOOKUP(A40,OPTIONS!A:C,2,FALSE)</f>
        <v>45657</v>
      </c>
      <c r="C40" s="28" t="s">
        <v>16</v>
      </c>
      <c r="D40" s="19" t="s">
        <v>130</v>
      </c>
      <c r="E40" s="19" t="s">
        <v>417</v>
      </c>
      <c r="F40" s="19" t="s">
        <v>14</v>
      </c>
      <c r="G40" s="31">
        <v>50</v>
      </c>
      <c r="H40" s="19" t="s">
        <v>80</v>
      </c>
      <c r="I40" s="28"/>
      <c r="J40" s="28"/>
      <c r="K40" s="39">
        <f>VLOOKUP(A40,OPTIONS!A:C,3,FALSE)*G40</f>
        <v>1550</v>
      </c>
      <c r="L40" s="39" t="str">
        <f t="shared" si="6"/>
        <v>50 g Fromage râpé</v>
      </c>
      <c r="M40" s="39" t="str">
        <f t="shared" si="7"/>
        <v>1550 g Fromage râpé</v>
      </c>
      <c r="N40" s="39" t="str">
        <f t="shared" si="8"/>
        <v>Fromage râpé (g)</v>
      </c>
    </row>
    <row r="41" spans="1:14" x14ac:dyDescent="0.3">
      <c r="A41" s="34">
        <v>2</v>
      </c>
      <c r="B41" s="38">
        <f>VLOOKUP(A41,OPTIONS!A:C,2,FALSE)</f>
        <v>45657</v>
      </c>
      <c r="C41" s="28" t="s">
        <v>16</v>
      </c>
      <c r="D41" s="19" t="s">
        <v>130</v>
      </c>
      <c r="E41" s="19" t="s">
        <v>414</v>
      </c>
      <c r="F41" s="19" t="s">
        <v>26</v>
      </c>
      <c r="G41" s="31">
        <v>0.5</v>
      </c>
      <c r="H41" s="19" t="s">
        <v>18</v>
      </c>
      <c r="I41" s="28"/>
      <c r="J41" s="28"/>
      <c r="K41" s="39">
        <f>VLOOKUP(A41,OPTIONS!A:C,3,FALSE)*G41</f>
        <v>15.5</v>
      </c>
      <c r="L41" s="39" t="str">
        <f t="shared" si="6"/>
        <v>0.5 Unité Échalotes (oignons verts)</v>
      </c>
      <c r="M41" s="39" t="str">
        <f t="shared" si="7"/>
        <v>15.5 Unité Échalotes (oignons verts)</v>
      </c>
      <c r="N41" s="39" t="str">
        <f t="shared" si="8"/>
        <v>Échalotes (oignons verts) (Unité)</v>
      </c>
    </row>
    <row r="42" spans="1:14" x14ac:dyDescent="0.3">
      <c r="A42" s="34">
        <v>2</v>
      </c>
      <c r="B42" s="38">
        <f>VLOOKUP(A42,OPTIONS!A:C,2,FALSE)</f>
        <v>45657</v>
      </c>
      <c r="C42" s="28" t="s">
        <v>16</v>
      </c>
      <c r="D42" s="19" t="s">
        <v>130</v>
      </c>
      <c r="E42" s="19" t="s">
        <v>419</v>
      </c>
      <c r="F42" s="19" t="s">
        <v>26</v>
      </c>
      <c r="G42" s="31">
        <v>0.33333333333333331</v>
      </c>
      <c r="H42" s="19" t="s">
        <v>18</v>
      </c>
      <c r="I42" s="28"/>
      <c r="J42" s="28"/>
      <c r="K42" s="39">
        <f>VLOOKUP(A42,OPTIONS!A:C,3,FALSE)*G42</f>
        <v>10.333333333333332</v>
      </c>
      <c r="L42" s="39" t="str">
        <f t="shared" si="6"/>
        <v>0.333333333333333 Unité Avocat</v>
      </c>
      <c r="M42" s="39" t="str">
        <f t="shared" si="7"/>
        <v>10.3333333333333 Unité Avocat</v>
      </c>
      <c r="N42" s="39" t="str">
        <f t="shared" si="8"/>
        <v>Avocat (Unité)</v>
      </c>
    </row>
    <row r="43" spans="1:14" x14ac:dyDescent="0.3">
      <c r="A43" s="34">
        <v>2</v>
      </c>
      <c r="B43" s="38">
        <f>VLOOKUP(A43,OPTIONS!A:C,2,FALSE)</f>
        <v>45657</v>
      </c>
      <c r="C43" s="28" t="s">
        <v>16</v>
      </c>
      <c r="D43" s="19" t="s">
        <v>130</v>
      </c>
      <c r="E43" s="19" t="s">
        <v>420</v>
      </c>
      <c r="F43" s="19" t="s">
        <v>26</v>
      </c>
      <c r="G43" s="31">
        <v>3.3333333333333335</v>
      </c>
      <c r="H43" s="19" t="s">
        <v>80</v>
      </c>
      <c r="I43" s="28"/>
      <c r="J43" s="28"/>
      <c r="K43" s="39">
        <f>VLOOKUP(A43,OPTIONS!A:C,3,FALSE)*G43</f>
        <v>103.33333333333334</v>
      </c>
      <c r="L43" s="39" t="str">
        <f t="shared" si="6"/>
        <v>3.33333333333333 g Coriandre fraîche</v>
      </c>
      <c r="M43" s="39" t="str">
        <f t="shared" si="7"/>
        <v>103.333333333333 g Coriandre fraîche</v>
      </c>
      <c r="N43" s="39" t="str">
        <f t="shared" si="8"/>
        <v>Coriandre fraîche (g)</v>
      </c>
    </row>
    <row r="44" spans="1:14" x14ac:dyDescent="0.3">
      <c r="A44" s="34">
        <v>2</v>
      </c>
      <c r="B44" s="38">
        <f>VLOOKUP(A44,OPTIONS!A:C,2,FALSE)</f>
        <v>45657</v>
      </c>
      <c r="C44" s="28" t="s">
        <v>16</v>
      </c>
      <c r="D44" s="19" t="s">
        <v>130</v>
      </c>
      <c r="E44" s="19" t="s">
        <v>421</v>
      </c>
      <c r="F44" s="19" t="s">
        <v>26</v>
      </c>
      <c r="G44" s="31">
        <v>0.16666666666666666</v>
      </c>
      <c r="H44" s="19" t="s">
        <v>18</v>
      </c>
      <c r="I44" s="28"/>
      <c r="J44" s="28"/>
      <c r="K44" s="39">
        <f>VLOOKUP(A44,OPTIONS!A:C,3,FALSE)*G44</f>
        <v>5.1666666666666661</v>
      </c>
      <c r="L44" s="39" t="str">
        <f t="shared" si="6"/>
        <v>0.166666666666667 Unité Lime</v>
      </c>
      <c r="M44" s="39" t="str">
        <f t="shared" si="7"/>
        <v>5.16666666666667 Unité Lime</v>
      </c>
      <c r="N44" s="39" t="str">
        <f t="shared" si="8"/>
        <v>Lime (Unité)</v>
      </c>
    </row>
    <row r="45" spans="1:14" x14ac:dyDescent="0.3">
      <c r="A45" s="34">
        <v>2</v>
      </c>
      <c r="B45" s="38">
        <f>VLOOKUP(A45,OPTIONS!A:C,2,FALSE)</f>
        <v>45657</v>
      </c>
      <c r="C45" s="28" t="s">
        <v>49</v>
      </c>
      <c r="D45" s="19" t="s">
        <v>458</v>
      </c>
      <c r="E45" s="19" t="s">
        <v>293</v>
      </c>
      <c r="F45" s="19" t="s">
        <v>19</v>
      </c>
      <c r="G45" s="31">
        <v>60</v>
      </c>
      <c r="H45" s="19" t="s">
        <v>15</v>
      </c>
      <c r="I45" s="28"/>
      <c r="J45" s="28"/>
      <c r="K45" s="39">
        <f>VLOOKUP(A45,OPTIONS!A:C,3,FALSE)*G45</f>
        <v>1860</v>
      </c>
      <c r="L45" s="39" t="str">
        <f t="shared" si="6"/>
        <v>60 ml Macaroni</v>
      </c>
      <c r="M45" s="39" t="str">
        <f t="shared" si="7"/>
        <v>1860 ml Macaroni</v>
      </c>
      <c r="N45" s="39" t="str">
        <f t="shared" si="8"/>
        <v>Macaroni (ml)</v>
      </c>
    </row>
    <row r="46" spans="1:14" x14ac:dyDescent="0.3">
      <c r="A46" s="34">
        <v>2</v>
      </c>
      <c r="B46" s="38">
        <f>VLOOKUP(A46,OPTIONS!A:C,2,FALSE)</f>
        <v>45657</v>
      </c>
      <c r="C46" s="28" t="s">
        <v>49</v>
      </c>
      <c r="D46" s="19" t="s">
        <v>369</v>
      </c>
      <c r="E46" s="19" t="s">
        <v>370</v>
      </c>
      <c r="F46" s="19" t="s">
        <v>26</v>
      </c>
      <c r="G46" s="31">
        <v>200</v>
      </c>
      <c r="H46" s="19" t="s">
        <v>80</v>
      </c>
      <c r="I46" s="28"/>
      <c r="J46" s="28"/>
      <c r="K46" s="39">
        <f>VLOOKUP(A46,OPTIONS!A:C,3,FALSE)*G46</f>
        <v>6200</v>
      </c>
      <c r="L46" s="39" t="str">
        <f t="shared" si="6"/>
        <v>200 g Petites patates</v>
      </c>
      <c r="M46" s="39" t="str">
        <f t="shared" si="7"/>
        <v>6200 g Petites patates</v>
      </c>
      <c r="N46" s="39" t="str">
        <f t="shared" si="8"/>
        <v>Petites patates (g)</v>
      </c>
    </row>
    <row r="47" spans="1:14" x14ac:dyDescent="0.3">
      <c r="A47" s="34">
        <v>2</v>
      </c>
      <c r="B47" s="38">
        <f>VLOOKUP(A47,OPTIONS!A:C,2,FALSE)</f>
        <v>45657</v>
      </c>
      <c r="C47" s="28" t="s">
        <v>49</v>
      </c>
      <c r="D47" s="19" t="s">
        <v>87</v>
      </c>
      <c r="E47" s="19" t="s">
        <v>88</v>
      </c>
      <c r="F47" s="19" t="s">
        <v>26</v>
      </c>
      <c r="G47" s="31">
        <v>0.2</v>
      </c>
      <c r="H47" s="19" t="s">
        <v>18</v>
      </c>
      <c r="I47" s="28"/>
      <c r="J47" s="28"/>
      <c r="K47" s="39">
        <f>VLOOKUP(A47,OPTIONS!A:C,3,FALSE)*G47</f>
        <v>6.2</v>
      </c>
      <c r="L47" s="39" t="str">
        <f t="shared" si="6"/>
        <v>0.2 Unité Laitues iceberg</v>
      </c>
      <c r="M47" s="39" t="str">
        <f t="shared" si="7"/>
        <v>6.2 Unité Laitues iceberg</v>
      </c>
      <c r="N47" s="39" t="str">
        <f t="shared" si="8"/>
        <v>Laitues iceberg (Unité)</v>
      </c>
    </row>
    <row r="48" spans="1:14" x14ac:dyDescent="0.3">
      <c r="A48" s="34">
        <v>2</v>
      </c>
      <c r="B48" s="38">
        <f>VLOOKUP(A48,OPTIONS!A:C,2,FALSE)</f>
        <v>45657</v>
      </c>
      <c r="C48" s="28" t="s">
        <v>49</v>
      </c>
      <c r="D48" s="19" t="s">
        <v>87</v>
      </c>
      <c r="E48" s="19" t="s">
        <v>89</v>
      </c>
      <c r="F48" s="19" t="s">
        <v>26</v>
      </c>
      <c r="G48" s="31">
        <v>50</v>
      </c>
      <c r="H48" s="19" t="s">
        <v>80</v>
      </c>
      <c r="I48" s="28"/>
      <c r="J48" s="28"/>
      <c r="K48" s="39">
        <f>VLOOKUP(A48,OPTIONS!A:C,3,FALSE)*G48</f>
        <v>1550</v>
      </c>
      <c r="L48" s="39" t="str">
        <f t="shared" si="6"/>
        <v>50 g Croutons</v>
      </c>
      <c r="M48" s="39" t="str">
        <f t="shared" si="7"/>
        <v>1550 g Croutons</v>
      </c>
      <c r="N48" s="39" t="str">
        <f t="shared" si="8"/>
        <v>Croutons (g)</v>
      </c>
    </row>
    <row r="49" spans="1:14" x14ac:dyDescent="0.3">
      <c r="A49" s="34">
        <v>2</v>
      </c>
      <c r="B49" s="38">
        <f>VLOOKUP(A49,OPTIONS!A:C,2,FALSE)</f>
        <v>45657</v>
      </c>
      <c r="C49" s="28" t="s">
        <v>49</v>
      </c>
      <c r="D49" s="19" t="s">
        <v>87</v>
      </c>
      <c r="E49" s="19" t="s">
        <v>90</v>
      </c>
      <c r="F49" s="19" t="s">
        <v>24</v>
      </c>
      <c r="G49" s="31">
        <v>20</v>
      </c>
      <c r="H49" s="19" t="s">
        <v>15</v>
      </c>
      <c r="I49" s="28"/>
      <c r="J49" s="28"/>
      <c r="K49" s="39">
        <f>VLOOKUP(A49,OPTIONS!A:C,3,FALSE)*G49</f>
        <v>620</v>
      </c>
      <c r="L49" s="39" t="str">
        <f t="shared" si="6"/>
        <v>20 ml Vignaigrette César</v>
      </c>
      <c r="M49" s="39" t="str">
        <f t="shared" si="7"/>
        <v>620 ml Vignaigrette César</v>
      </c>
      <c r="N49" s="39" t="str">
        <f t="shared" si="8"/>
        <v>Vignaigrette César (ml)</v>
      </c>
    </row>
    <row r="50" spans="1:14" x14ac:dyDescent="0.3">
      <c r="A50" s="34">
        <v>2</v>
      </c>
      <c r="B50" s="38">
        <f>VLOOKUP(A50,OPTIONS!A:C,2,FALSE)</f>
        <v>45657</v>
      </c>
      <c r="C50" s="28" t="s">
        <v>49</v>
      </c>
      <c r="D50" s="19" t="s">
        <v>302</v>
      </c>
      <c r="E50" s="19" t="s">
        <v>305</v>
      </c>
      <c r="F50" s="19" t="s">
        <v>21</v>
      </c>
      <c r="G50" s="31">
        <v>0.02</v>
      </c>
      <c r="H50" s="19" t="s">
        <v>18</v>
      </c>
      <c r="I50" s="28"/>
      <c r="J50" s="28"/>
      <c r="K50" s="39">
        <f>VLOOKUP(A50,OPTIONS!A:C,3,FALSE)*G50</f>
        <v>0.62</v>
      </c>
      <c r="L50" s="39" t="str">
        <f t="shared" si="6"/>
        <v>0.02 Unité Bacon émietté (sac)</v>
      </c>
      <c r="M50" s="39" t="str">
        <f t="shared" si="7"/>
        <v>0.62 Unité Bacon émietté (sac)</v>
      </c>
      <c r="N50" s="39" t="str">
        <f t="shared" si="8"/>
        <v>Bacon émietté (sac) (Unité)</v>
      </c>
    </row>
    <row r="51" spans="1:14" x14ac:dyDescent="0.3">
      <c r="A51" s="34">
        <v>2</v>
      </c>
      <c r="B51" s="38">
        <f>VLOOKUP(A51,OPTIONS!A:C,2,FALSE)</f>
        <v>45657</v>
      </c>
      <c r="C51" s="28" t="s">
        <v>67</v>
      </c>
      <c r="D51" s="19" t="s">
        <v>152</v>
      </c>
      <c r="E51" s="19" t="s">
        <v>153</v>
      </c>
      <c r="F51" s="19" t="s">
        <v>24</v>
      </c>
      <c r="G51" s="31">
        <v>3.125E-2</v>
      </c>
      <c r="H51" s="19" t="s">
        <v>42</v>
      </c>
      <c r="I51" s="28"/>
      <c r="J51" s="28"/>
      <c r="K51" s="39">
        <f>VLOOKUP(A51,OPTIONS!A:C,3,FALSE)*G51</f>
        <v>0.96875</v>
      </c>
      <c r="L51" s="39" t="str">
        <f t="shared" si="6"/>
        <v>0.03125 Pot Jus en poudre</v>
      </c>
      <c r="M51" s="39" t="str">
        <f t="shared" si="7"/>
        <v>0.96875 Pot Jus en poudre</v>
      </c>
      <c r="N51" s="39" t="str">
        <f t="shared" si="8"/>
        <v>Jus en poudre (Pot)</v>
      </c>
    </row>
    <row r="52" spans="1:14" x14ac:dyDescent="0.3">
      <c r="A52" s="34">
        <v>2</v>
      </c>
      <c r="B52" s="38">
        <f>VLOOKUP(A52,OPTIONS!A:C,2,FALSE)</f>
        <v>45657</v>
      </c>
      <c r="C52" s="28" t="s">
        <v>16</v>
      </c>
      <c r="D52" s="19" t="s">
        <v>448</v>
      </c>
      <c r="E52" s="19" t="s">
        <v>448</v>
      </c>
      <c r="F52" s="19" t="s">
        <v>24</v>
      </c>
      <c r="G52" s="31">
        <v>2</v>
      </c>
      <c r="H52" s="19" t="s">
        <v>18</v>
      </c>
      <c r="I52" s="28"/>
      <c r="J52" s="28"/>
      <c r="K52" s="39">
        <f>VLOOKUP(A52,OPTIONS!A:C,3,FALSE)*G52</f>
        <v>62</v>
      </c>
      <c r="L52" s="39" t="str">
        <f t="shared" si="6"/>
        <v>2 Unité Biscuits aux chocolats</v>
      </c>
      <c r="M52" s="39" t="str">
        <f t="shared" si="7"/>
        <v>62 Unité Biscuits aux chocolats</v>
      </c>
      <c r="N52" s="39" t="str">
        <f t="shared" si="8"/>
        <v>Biscuits aux chocolats (Unité)</v>
      </c>
    </row>
    <row r="53" spans="1:14" x14ac:dyDescent="0.3">
      <c r="A53" s="34">
        <v>2</v>
      </c>
      <c r="B53" s="38">
        <f>VLOOKUP(A53,OPTIONS!A:C,2,FALSE)</f>
        <v>45657</v>
      </c>
      <c r="C53" s="28" t="s">
        <v>16</v>
      </c>
      <c r="D53" s="19" t="s">
        <v>218</v>
      </c>
      <c r="E53" s="19" t="s">
        <v>142</v>
      </c>
      <c r="F53" s="19" t="s">
        <v>26</v>
      </c>
      <c r="G53" s="31">
        <v>33</v>
      </c>
      <c r="H53" s="19" t="s">
        <v>22</v>
      </c>
      <c r="I53" s="28"/>
      <c r="J53" s="28"/>
      <c r="K53" s="39">
        <f>VLOOKUP(A53,OPTIONS!A:C,3,FALSE)*G53</f>
        <v>1023</v>
      </c>
      <c r="L53" s="39" t="str">
        <f t="shared" si="6"/>
        <v>33 gr Bébé carottes</v>
      </c>
      <c r="M53" s="39" t="str">
        <f t="shared" si="7"/>
        <v>1023 gr Bébé carottes</v>
      </c>
      <c r="N53" s="39" t="str">
        <f t="shared" si="8"/>
        <v>Bébé carottes (gr)</v>
      </c>
    </row>
    <row r="54" spans="1:14" x14ac:dyDescent="0.3">
      <c r="A54" s="34">
        <v>2</v>
      </c>
      <c r="B54" s="38">
        <f>VLOOKUP(A54,OPTIONS!A:C,2,FALSE)</f>
        <v>45657</v>
      </c>
      <c r="C54" s="28" t="s">
        <v>16</v>
      </c>
      <c r="D54" s="19" t="s">
        <v>218</v>
      </c>
      <c r="E54" s="19" t="s">
        <v>85</v>
      </c>
      <c r="F54" s="19" t="s">
        <v>26</v>
      </c>
      <c r="G54" s="31">
        <v>0.3</v>
      </c>
      <c r="H54" s="19" t="s">
        <v>18</v>
      </c>
      <c r="I54" s="28"/>
      <c r="J54" s="28"/>
      <c r="K54" s="39">
        <f>VLOOKUP(A54,OPTIONS!A:C,3,FALSE)*G54</f>
        <v>9.2999999999999989</v>
      </c>
      <c r="L54" s="39" t="str">
        <f t="shared" si="6"/>
        <v>0.3 Unité Concombre anglais</v>
      </c>
      <c r="M54" s="39" t="str">
        <f t="shared" si="7"/>
        <v>9.3 Unité Concombre anglais</v>
      </c>
      <c r="N54" s="39" t="str">
        <f t="shared" si="8"/>
        <v>Concombre anglais (Unité)</v>
      </c>
    </row>
    <row r="55" spans="1:14" x14ac:dyDescent="0.3">
      <c r="A55" s="34">
        <v>2</v>
      </c>
      <c r="B55" s="38">
        <f>VLOOKUP(A55,OPTIONS!A:C,2,FALSE)</f>
        <v>45657</v>
      </c>
      <c r="C55" s="28" t="s">
        <v>16</v>
      </c>
      <c r="D55" s="19" t="s">
        <v>218</v>
      </c>
      <c r="E55" s="19" t="s">
        <v>219</v>
      </c>
      <c r="F55" s="19" t="s">
        <v>24</v>
      </c>
      <c r="G55" s="31">
        <v>0.1111111111111111</v>
      </c>
      <c r="H55" s="19" t="s">
        <v>220</v>
      </c>
      <c r="I55" s="28"/>
      <c r="J55" s="28"/>
      <c r="K55" s="39">
        <f>VLOOKUP(A55,OPTIONS!A:C,3,FALSE)*G55</f>
        <v>3.4444444444444442</v>
      </c>
      <c r="L55" s="39" t="str">
        <f t="shared" si="6"/>
        <v>0.111111111111111 Pots Trempettes</v>
      </c>
      <c r="M55" s="39" t="str">
        <f t="shared" si="7"/>
        <v>3.44444444444444 Pots Trempettes</v>
      </c>
      <c r="N55" s="39" t="str">
        <f t="shared" si="8"/>
        <v>Trempettes (Pots)</v>
      </c>
    </row>
    <row r="56" spans="1:14" x14ac:dyDescent="0.3">
      <c r="A56" s="34"/>
      <c r="B56" s="38" t="str">
        <f>VLOOKUP(A56,OPTIONS!A:C,2,FALSE)</f>
        <v>MOYENNE</v>
      </c>
      <c r="C56" s="30"/>
      <c r="D56" s="29"/>
      <c r="E56" s="29"/>
      <c r="G56" s="33"/>
      <c r="H56" s="29"/>
      <c r="I56" s="28"/>
      <c r="J56" s="28"/>
      <c r="K56" s="39">
        <f>VLOOKUP(A56,OPTIONS!A:C,3,FALSE)*G56</f>
        <v>0</v>
      </c>
      <c r="L56" s="39" t="str">
        <f t="shared" si="6"/>
        <v/>
      </c>
      <c r="M56" s="39" t="str">
        <f t="shared" si="7"/>
        <v>0</v>
      </c>
      <c r="N56" s="39" t="str">
        <f t="shared" si="8"/>
        <v xml:space="preserve"> ()</v>
      </c>
    </row>
    <row r="57" spans="1:14" x14ac:dyDescent="0.3">
      <c r="A57" s="34"/>
      <c r="B57" s="38" t="str">
        <f>VLOOKUP(A57,OPTIONS!A:C,2,FALSE)</f>
        <v>MOYENNE</v>
      </c>
      <c r="C57" s="30"/>
      <c r="D57" s="29"/>
      <c r="E57" s="29"/>
      <c r="G57" s="33"/>
      <c r="H57" s="29"/>
      <c r="I57" s="28"/>
      <c r="J57" s="28"/>
      <c r="K57" s="39">
        <f>VLOOKUP(A57,OPTIONS!A:C,3,FALSE)*G57</f>
        <v>0</v>
      </c>
      <c r="L57" s="39" t="str">
        <f t="shared" si="6"/>
        <v/>
      </c>
      <c r="M57" s="39" t="str">
        <f t="shared" si="7"/>
        <v>0</v>
      </c>
      <c r="N57" s="39" t="str">
        <f t="shared" si="8"/>
        <v xml:space="preserve"> ()</v>
      </c>
    </row>
    <row r="58" spans="1:14" x14ac:dyDescent="0.3">
      <c r="A58" s="34"/>
      <c r="B58" s="38" t="str">
        <f>VLOOKUP(A58,OPTIONS!A:C,2,FALSE)</f>
        <v>MOYENNE</v>
      </c>
      <c r="C58" s="30"/>
      <c r="D58" s="29"/>
      <c r="E58" s="29"/>
      <c r="G58" s="33"/>
      <c r="H58" s="29"/>
      <c r="I58" s="28"/>
      <c r="J58" s="28"/>
      <c r="K58" s="39">
        <f>VLOOKUP(A58,OPTIONS!A:C,3,FALSE)*G58</f>
        <v>0</v>
      </c>
      <c r="L58" s="39" t="str">
        <f t="shared" si="6"/>
        <v/>
      </c>
      <c r="M58" s="39" t="str">
        <f t="shared" si="7"/>
        <v>0</v>
      </c>
      <c r="N58" s="39" t="str">
        <f t="shared" si="8"/>
        <v xml:space="preserve"> ()</v>
      </c>
    </row>
    <row r="59" spans="1:14" x14ac:dyDescent="0.3">
      <c r="A59" s="34"/>
      <c r="B59" s="38" t="str">
        <f>VLOOKUP(A59,OPTIONS!A:C,2,FALSE)</f>
        <v>MOYENNE</v>
      </c>
      <c r="C59" s="30"/>
      <c r="D59" s="29"/>
      <c r="E59" s="29"/>
      <c r="G59" s="33"/>
      <c r="H59" s="29"/>
      <c r="I59" s="28"/>
      <c r="J59" s="28"/>
      <c r="K59" s="39">
        <f>VLOOKUP(A59,OPTIONS!A:C,3,FALSE)*G59</f>
        <v>0</v>
      </c>
      <c r="L59" s="39" t="str">
        <f t="shared" si="6"/>
        <v/>
      </c>
      <c r="M59" s="39" t="str">
        <f t="shared" si="7"/>
        <v>0</v>
      </c>
      <c r="N59" s="39" t="str">
        <f t="shared" si="8"/>
        <v xml:space="preserve"> ()</v>
      </c>
    </row>
    <row r="60" spans="1:14" x14ac:dyDescent="0.3">
      <c r="A60" s="34"/>
      <c r="B60" s="38" t="str">
        <f>VLOOKUP(A60,OPTIONS!A:C,2,FALSE)</f>
        <v>MOYENNE</v>
      </c>
      <c r="C60" s="30"/>
      <c r="D60" s="29"/>
      <c r="E60" s="29"/>
      <c r="G60" s="33"/>
      <c r="H60" s="29"/>
      <c r="I60" s="28"/>
      <c r="J60" s="28"/>
      <c r="K60" s="39">
        <f>VLOOKUP(A60,OPTIONS!A:C,3,FALSE)*G60</f>
        <v>0</v>
      </c>
      <c r="L60" s="39" t="str">
        <f t="shared" si="6"/>
        <v/>
      </c>
      <c r="M60" s="39" t="str">
        <f t="shared" si="7"/>
        <v>0</v>
      </c>
      <c r="N60" s="39" t="str">
        <f t="shared" si="8"/>
        <v xml:space="preserve"> ()</v>
      </c>
    </row>
    <row r="61" spans="1:14" x14ac:dyDescent="0.3">
      <c r="A61" s="34"/>
      <c r="B61" s="38" t="str">
        <f>VLOOKUP(A61,OPTIONS!A:C,2,FALSE)</f>
        <v>MOYENNE</v>
      </c>
      <c r="C61" s="30"/>
      <c r="D61" s="29"/>
      <c r="E61" s="29"/>
      <c r="G61" s="33"/>
      <c r="H61" s="29"/>
      <c r="I61" s="28"/>
      <c r="J61" s="28"/>
      <c r="K61" s="39">
        <f>VLOOKUP(A61,OPTIONS!A:C,3,FALSE)*G61</f>
        <v>0</v>
      </c>
      <c r="L61" s="39" t="str">
        <f t="shared" si="6"/>
        <v/>
      </c>
      <c r="M61" s="39" t="str">
        <f t="shared" si="7"/>
        <v>0</v>
      </c>
      <c r="N61" s="39" t="str">
        <f t="shared" si="8"/>
        <v xml:space="preserve"> ()</v>
      </c>
    </row>
    <row r="62" spans="1:14" x14ac:dyDescent="0.3">
      <c r="A62" s="34"/>
      <c r="B62" s="38" t="str">
        <f>VLOOKUP(A62,OPTIONS!A:C,2,FALSE)</f>
        <v>MOYENNE</v>
      </c>
      <c r="C62" s="30"/>
      <c r="D62" s="29"/>
      <c r="E62" s="29"/>
      <c r="G62" s="33"/>
      <c r="H62" s="29"/>
      <c r="I62" s="28"/>
      <c r="J62" s="28"/>
      <c r="K62" s="39">
        <f>VLOOKUP(A62,OPTIONS!A:C,3,FALSE)*G62</f>
        <v>0</v>
      </c>
      <c r="L62" s="39" t="str">
        <f t="shared" si="6"/>
        <v/>
      </c>
      <c r="M62" s="39" t="str">
        <f t="shared" si="7"/>
        <v>0</v>
      </c>
      <c r="N62" s="39" t="str">
        <f t="shared" si="8"/>
        <v xml:space="preserve"> ()</v>
      </c>
    </row>
    <row r="63" spans="1:14" x14ac:dyDescent="0.3">
      <c r="A63" s="34"/>
      <c r="B63" s="38" t="str">
        <f>VLOOKUP(A63,OPTIONS!A:C,2,FALSE)</f>
        <v>MOYENNE</v>
      </c>
      <c r="C63" s="30"/>
      <c r="D63" s="29"/>
      <c r="E63" s="29"/>
      <c r="G63" s="33"/>
      <c r="H63" s="29"/>
      <c r="I63" s="28"/>
      <c r="J63" s="28"/>
      <c r="K63" s="39">
        <f>VLOOKUP(A63,OPTIONS!A:C,3,FALSE)*G63</f>
        <v>0</v>
      </c>
      <c r="L63" s="39" t="str">
        <f t="shared" si="6"/>
        <v/>
      </c>
      <c r="M63" s="39" t="str">
        <f t="shared" si="7"/>
        <v>0</v>
      </c>
      <c r="N63" s="39" t="str">
        <f t="shared" si="8"/>
        <v xml:space="preserve"> ()</v>
      </c>
    </row>
    <row r="64" spans="1:14" x14ac:dyDescent="0.3">
      <c r="A64" s="34"/>
      <c r="B64" s="38" t="str">
        <f>VLOOKUP(A64,OPTIONS!A:C,2,FALSE)</f>
        <v>MOYENNE</v>
      </c>
      <c r="C64" s="30"/>
      <c r="D64" s="29"/>
      <c r="E64" s="29"/>
      <c r="G64" s="33"/>
      <c r="H64" s="29"/>
      <c r="I64" s="28"/>
      <c r="J64" s="28"/>
      <c r="K64" s="39">
        <f>VLOOKUP(A64,OPTIONS!A:C,3,FALSE)*G64</f>
        <v>0</v>
      </c>
      <c r="L64" s="39" t="str">
        <f t="shared" si="6"/>
        <v/>
      </c>
      <c r="M64" s="39" t="str">
        <f t="shared" si="7"/>
        <v>0</v>
      </c>
      <c r="N64" s="39" t="str">
        <f t="shared" si="8"/>
        <v xml:space="preserve"> ()</v>
      </c>
    </row>
    <row r="65" spans="1:14" x14ac:dyDescent="0.3">
      <c r="A65" s="34"/>
      <c r="B65" s="38" t="str">
        <f>VLOOKUP(A65,OPTIONS!A:C,2,FALSE)</f>
        <v>MOYENNE</v>
      </c>
      <c r="C65" s="30"/>
      <c r="D65" s="29"/>
      <c r="E65" s="29"/>
      <c r="G65" s="33"/>
      <c r="H65" s="29"/>
      <c r="I65" s="28"/>
      <c r="J65" s="28"/>
      <c r="K65" s="39">
        <f>VLOOKUP(A65,OPTIONS!A:C,3,FALSE)*G65</f>
        <v>0</v>
      </c>
      <c r="L65" s="39" t="str">
        <f t="shared" si="6"/>
        <v/>
      </c>
      <c r="M65" s="39" t="str">
        <f t="shared" si="7"/>
        <v>0</v>
      </c>
      <c r="N65" s="39" t="str">
        <f t="shared" si="8"/>
        <v xml:space="preserve"> ()</v>
      </c>
    </row>
    <row r="66" spans="1:14" x14ac:dyDescent="0.3">
      <c r="A66" s="34"/>
      <c r="B66" s="38" t="str">
        <f>VLOOKUP(A66,OPTIONS!A:C,2,FALSE)</f>
        <v>MOYENNE</v>
      </c>
      <c r="C66" s="30"/>
      <c r="D66" s="29"/>
      <c r="E66" s="29"/>
      <c r="G66" s="33"/>
      <c r="H66" s="29"/>
      <c r="I66" s="28"/>
      <c r="J66" s="28"/>
      <c r="K66" s="39">
        <f>VLOOKUP(A66,OPTIONS!A:C,3,FALSE)*G66</f>
        <v>0</v>
      </c>
      <c r="L66" s="39" t="str">
        <f t="shared" si="6"/>
        <v/>
      </c>
      <c r="M66" s="39" t="str">
        <f t="shared" si="7"/>
        <v>0</v>
      </c>
      <c r="N66" s="39" t="str">
        <f t="shared" si="8"/>
        <v xml:space="preserve"> ()</v>
      </c>
    </row>
    <row r="67" spans="1:14" x14ac:dyDescent="0.3">
      <c r="A67" s="34"/>
      <c r="B67" s="38" t="str">
        <f>VLOOKUP(A67,OPTIONS!A:C,2,FALSE)</f>
        <v>MOYENNE</v>
      </c>
      <c r="C67" s="30"/>
      <c r="D67" s="29"/>
      <c r="E67" s="29"/>
      <c r="G67" s="33"/>
      <c r="H67" s="29"/>
      <c r="I67" s="28"/>
      <c r="J67" s="28"/>
      <c r="K67" s="39">
        <f>VLOOKUP(A67,OPTIONS!A:C,3,FALSE)*G67</f>
        <v>0</v>
      </c>
      <c r="L67" s="39" t="str">
        <f t="shared" si="6"/>
        <v/>
      </c>
      <c r="M67" s="39" t="str">
        <f t="shared" si="7"/>
        <v>0</v>
      </c>
      <c r="N67" s="39" t="str">
        <f t="shared" si="8"/>
        <v xml:space="preserve"> ()</v>
      </c>
    </row>
    <row r="68" spans="1:14" x14ac:dyDescent="0.3">
      <c r="A68" s="34"/>
      <c r="B68" s="38" t="str">
        <f>VLOOKUP(A68,OPTIONS!A:C,2,FALSE)</f>
        <v>MOYENNE</v>
      </c>
      <c r="C68" s="30"/>
      <c r="D68" s="29"/>
      <c r="E68" s="29"/>
      <c r="G68" s="33"/>
      <c r="H68" s="29"/>
      <c r="I68" s="28"/>
      <c r="J68" s="28"/>
      <c r="K68" s="39">
        <f>VLOOKUP(A68,OPTIONS!A:C,3,FALSE)*G68</f>
        <v>0</v>
      </c>
      <c r="L68" s="39" t="str">
        <f t="shared" si="6"/>
        <v/>
      </c>
      <c r="M68" s="39" t="str">
        <f t="shared" si="7"/>
        <v>0</v>
      </c>
      <c r="N68" s="39" t="str">
        <f t="shared" si="8"/>
        <v xml:space="preserve"> ()</v>
      </c>
    </row>
    <row r="69" spans="1:14" x14ac:dyDescent="0.3">
      <c r="A69" s="34"/>
      <c r="B69" s="38" t="str">
        <f>VLOOKUP(A69,OPTIONS!A:C,2,FALSE)</f>
        <v>MOYENNE</v>
      </c>
      <c r="C69" s="30"/>
      <c r="D69" s="29"/>
      <c r="E69" s="29"/>
      <c r="G69" s="33"/>
      <c r="H69" s="29"/>
      <c r="I69" s="28"/>
      <c r="J69" s="28"/>
      <c r="K69" s="39">
        <f>VLOOKUP(A69,OPTIONS!A:C,3,FALSE)*G69</f>
        <v>0</v>
      </c>
      <c r="L69" s="39" t="str">
        <f t="shared" si="6"/>
        <v/>
      </c>
      <c r="M69" s="39" t="str">
        <f t="shared" si="7"/>
        <v>0</v>
      </c>
      <c r="N69" s="39" t="str">
        <f t="shared" si="8"/>
        <v xml:space="preserve"> ()</v>
      </c>
    </row>
    <row r="70" spans="1:14" x14ac:dyDescent="0.3">
      <c r="A70" s="34"/>
      <c r="B70" s="38" t="str">
        <f>VLOOKUP(A70,OPTIONS!A:C,2,FALSE)</f>
        <v>MOYENNE</v>
      </c>
      <c r="C70" s="30"/>
      <c r="D70" s="29"/>
      <c r="E70" s="29"/>
      <c r="G70" s="33"/>
      <c r="H70" s="29"/>
      <c r="I70" s="28"/>
      <c r="J70" s="28"/>
      <c r="K70" s="39">
        <f>VLOOKUP(A70,OPTIONS!A:C,3,FALSE)*G70</f>
        <v>0</v>
      </c>
      <c r="L70" s="39" t="str">
        <f t="shared" si="6"/>
        <v/>
      </c>
      <c r="M70" s="39" t="str">
        <f t="shared" si="7"/>
        <v>0</v>
      </c>
      <c r="N70" s="39" t="str">
        <f t="shared" si="8"/>
        <v xml:space="preserve"> ()</v>
      </c>
    </row>
    <row r="71" spans="1:14" x14ac:dyDescent="0.3">
      <c r="A71" s="34"/>
      <c r="B71" s="38" t="str">
        <f>VLOOKUP(A71,OPTIONS!A:C,2,FALSE)</f>
        <v>MOYENNE</v>
      </c>
      <c r="C71" s="30"/>
      <c r="D71" s="29"/>
      <c r="E71" s="29"/>
      <c r="G71" s="33"/>
      <c r="H71" s="29"/>
      <c r="I71" s="28"/>
      <c r="J71" s="28"/>
      <c r="K71" s="39">
        <f>VLOOKUP(A71,OPTIONS!A:C,3,FALSE)*G71</f>
        <v>0</v>
      </c>
      <c r="L71" s="39" t="str">
        <f t="shared" si="6"/>
        <v/>
      </c>
      <c r="M71" s="39" t="str">
        <f t="shared" si="7"/>
        <v>0</v>
      </c>
      <c r="N71" s="39" t="str">
        <f t="shared" si="8"/>
        <v xml:space="preserve"> ()</v>
      </c>
    </row>
    <row r="72" spans="1:14" x14ac:dyDescent="0.3">
      <c r="A72" s="34"/>
      <c r="B72" s="38"/>
      <c r="C72" s="30"/>
      <c r="D72" s="29"/>
      <c r="E72" s="29"/>
      <c r="G72" s="33"/>
      <c r="H72" s="29"/>
      <c r="I72" s="28"/>
      <c r="J72" s="28"/>
      <c r="K72" s="39">
        <f>VLOOKUP(A72,OPTIONS!A:C,3,FALSE)*G72</f>
        <v>0</v>
      </c>
      <c r="L72" s="39" t="str">
        <f t="shared" si="6"/>
        <v/>
      </c>
      <c r="M72" s="39" t="str">
        <f t="shared" si="7"/>
        <v>0</v>
      </c>
      <c r="N72" s="39" t="str">
        <f t="shared" si="8"/>
        <v xml:space="preserve"> ()</v>
      </c>
    </row>
    <row r="73" spans="1:14" x14ac:dyDescent="0.3">
      <c r="A73" s="34"/>
      <c r="B73" s="38"/>
      <c r="C73" s="30"/>
      <c r="D73" s="29"/>
      <c r="E73" s="29"/>
      <c r="G73" s="33"/>
      <c r="H73" s="29"/>
      <c r="I73" s="28"/>
      <c r="J73" s="28"/>
      <c r="K73" s="39">
        <f>VLOOKUP(A73,OPTIONS!A:C,3,FALSE)*G73</f>
        <v>0</v>
      </c>
      <c r="L73" s="39" t="str">
        <f t="shared" si="6"/>
        <v/>
      </c>
      <c r="M73" s="39" t="str">
        <f t="shared" si="7"/>
        <v>0</v>
      </c>
      <c r="N73" s="39" t="str">
        <f t="shared" si="8"/>
        <v xml:space="preserve"> ()</v>
      </c>
    </row>
    <row r="74" spans="1:14" x14ac:dyDescent="0.3">
      <c r="A74" s="34"/>
      <c r="B74" s="38"/>
      <c r="C74" s="30"/>
      <c r="D74" s="29"/>
      <c r="E74" s="29"/>
      <c r="G74" s="33"/>
      <c r="H74" s="29"/>
      <c r="I74" s="28"/>
      <c r="J74" s="28"/>
      <c r="K74" s="39">
        <f>VLOOKUP(A74,OPTIONS!A:C,3,FALSE)*G74</f>
        <v>0</v>
      </c>
      <c r="L74" s="39" t="str">
        <f t="shared" si="6"/>
        <v/>
      </c>
      <c r="M74" s="39" t="str">
        <f t="shared" si="7"/>
        <v>0</v>
      </c>
      <c r="N74" s="39" t="str">
        <f t="shared" si="8"/>
        <v xml:space="preserve"> ()</v>
      </c>
    </row>
    <row r="75" spans="1:14" x14ac:dyDescent="0.3">
      <c r="A75" s="34"/>
      <c r="B75" s="38"/>
      <c r="C75" s="30"/>
      <c r="D75" s="29"/>
      <c r="E75" s="29"/>
      <c r="G75" s="33"/>
      <c r="H75" s="29"/>
      <c r="I75" s="28"/>
      <c r="J75" s="28"/>
      <c r="K75" s="39">
        <f>VLOOKUP(A75,OPTIONS!A:C,3,FALSE)*G75</f>
        <v>0</v>
      </c>
      <c r="L75" s="39" t="str">
        <f t="shared" si="6"/>
        <v/>
      </c>
      <c r="M75" s="39" t="str">
        <f t="shared" si="7"/>
        <v>0</v>
      </c>
      <c r="N75" s="39" t="str">
        <f t="shared" si="8"/>
        <v xml:space="preserve"> ()</v>
      </c>
    </row>
    <row r="76" spans="1:14" x14ac:dyDescent="0.3">
      <c r="A76" s="34"/>
      <c r="B76" s="38"/>
      <c r="C76" s="30"/>
      <c r="D76" s="29"/>
      <c r="E76" s="29"/>
      <c r="G76" s="33"/>
      <c r="H76" s="29"/>
      <c r="I76" s="28"/>
      <c r="J76" s="28"/>
      <c r="K76" s="39">
        <f>VLOOKUP(A76,OPTIONS!A:C,3,FALSE)*G76</f>
        <v>0</v>
      </c>
      <c r="L76" s="39" t="str">
        <f t="shared" si="6"/>
        <v/>
      </c>
      <c r="M76" s="39" t="str">
        <f t="shared" si="7"/>
        <v>0</v>
      </c>
      <c r="N76" s="39" t="str">
        <f t="shared" si="8"/>
        <v xml:space="preserve"> ()</v>
      </c>
    </row>
    <row r="77" spans="1:14" x14ac:dyDescent="0.3">
      <c r="A77" s="34"/>
      <c r="B77" s="38"/>
      <c r="C77" s="30"/>
      <c r="D77" s="29"/>
      <c r="E77" s="29"/>
      <c r="G77" s="33"/>
      <c r="H77" s="29"/>
      <c r="I77" s="28"/>
      <c r="J77" s="28"/>
      <c r="K77" s="39">
        <f>VLOOKUP(A77,OPTIONS!A:C,3,FALSE)*G77</f>
        <v>0</v>
      </c>
      <c r="L77" s="39" t="str">
        <f t="shared" si="6"/>
        <v/>
      </c>
      <c r="M77" s="39" t="str">
        <f t="shared" si="7"/>
        <v>0</v>
      </c>
      <c r="N77" s="39" t="str">
        <f t="shared" si="8"/>
        <v xml:space="preserve"> ()</v>
      </c>
    </row>
    <row r="78" spans="1:14" x14ac:dyDescent="0.3">
      <c r="A78" s="34"/>
      <c r="B78" s="38"/>
      <c r="C78" s="30"/>
      <c r="D78" s="29"/>
      <c r="E78" s="29"/>
      <c r="G78" s="33"/>
      <c r="H78" s="29"/>
      <c r="I78" s="28"/>
      <c r="J78" s="28"/>
      <c r="K78" s="39">
        <f>VLOOKUP(A78,OPTIONS!A:C,3,FALSE)*G78</f>
        <v>0</v>
      </c>
      <c r="L78" s="39" t="str">
        <f t="shared" si="6"/>
        <v/>
      </c>
      <c r="M78" s="39" t="str">
        <f t="shared" si="7"/>
        <v>0</v>
      </c>
      <c r="N78" s="39" t="str">
        <f t="shared" si="8"/>
        <v xml:space="preserve"> ()</v>
      </c>
    </row>
    <row r="79" spans="1:14" x14ac:dyDescent="0.3">
      <c r="A79" s="34"/>
      <c r="B79" s="38"/>
      <c r="C79" s="30"/>
      <c r="D79" s="29"/>
      <c r="E79" s="29"/>
      <c r="G79" s="33"/>
      <c r="H79" s="29"/>
      <c r="I79" s="28"/>
      <c r="J79" s="28"/>
      <c r="K79" s="39">
        <f>VLOOKUP(A79,OPTIONS!A:C,3,FALSE)*G79</f>
        <v>0</v>
      </c>
      <c r="L79" s="39" t="str">
        <f t="shared" si="6"/>
        <v/>
      </c>
      <c r="M79" s="39" t="str">
        <f t="shared" si="7"/>
        <v>0</v>
      </c>
      <c r="N79" s="39" t="str">
        <f t="shared" si="8"/>
        <v xml:space="preserve"> ()</v>
      </c>
    </row>
    <row r="80" spans="1:14" x14ac:dyDescent="0.3">
      <c r="A80" s="34"/>
      <c r="B80" s="38"/>
      <c r="C80" s="30"/>
      <c r="D80" s="29"/>
      <c r="E80" s="29"/>
      <c r="G80" s="33"/>
      <c r="H80" s="29"/>
      <c r="I80" s="28"/>
      <c r="J80" s="28"/>
      <c r="K80" s="39">
        <f>VLOOKUP(A80,OPTIONS!A:C,3,FALSE)*G80</f>
        <v>0</v>
      </c>
      <c r="L80" s="39" t="str">
        <f t="shared" si="6"/>
        <v/>
      </c>
      <c r="M80" s="39" t="str">
        <f t="shared" si="7"/>
        <v>0</v>
      </c>
      <c r="N80" s="39" t="str">
        <f t="shared" si="8"/>
        <v xml:space="preserve"> ()</v>
      </c>
    </row>
    <row r="81" spans="1:14" x14ac:dyDescent="0.3">
      <c r="A81" s="34"/>
      <c r="B81" s="38"/>
      <c r="C81" s="30"/>
      <c r="D81" s="29"/>
      <c r="E81" s="29"/>
      <c r="G81" s="33"/>
      <c r="H81" s="29"/>
      <c r="I81" s="28"/>
      <c r="J81" s="28"/>
      <c r="K81" s="39">
        <f>VLOOKUP(A81,OPTIONS!A:C,3,FALSE)*G81</f>
        <v>0</v>
      </c>
      <c r="L81" s="39" t="str">
        <f t="shared" si="6"/>
        <v/>
      </c>
      <c r="M81" s="39" t="str">
        <f t="shared" si="7"/>
        <v>0</v>
      </c>
      <c r="N81" s="39" t="str">
        <f t="shared" si="8"/>
        <v xml:space="preserve"> ()</v>
      </c>
    </row>
    <row r="82" spans="1:14" x14ac:dyDescent="0.3">
      <c r="A82" s="34"/>
      <c r="B82" s="38"/>
      <c r="C82" s="30"/>
      <c r="D82" s="29"/>
      <c r="E82" s="29"/>
      <c r="G82" s="33"/>
      <c r="H82" s="29"/>
      <c r="I82" s="28"/>
      <c r="J82" s="28"/>
      <c r="K82" s="39">
        <f>VLOOKUP(A82,OPTIONS!A:C,3,FALSE)*G82</f>
        <v>0</v>
      </c>
      <c r="L82" s="39" t="str">
        <f t="shared" si="6"/>
        <v/>
      </c>
      <c r="M82" s="39" t="str">
        <f t="shared" si="7"/>
        <v>0</v>
      </c>
      <c r="N82" s="39" t="str">
        <f t="shared" si="8"/>
        <v xml:space="preserve"> ()</v>
      </c>
    </row>
    <row r="83" spans="1:14" x14ac:dyDescent="0.3">
      <c r="A83" s="34"/>
      <c r="B83" s="38"/>
      <c r="C83" s="30"/>
      <c r="D83" s="29"/>
      <c r="E83" s="29"/>
      <c r="G83" s="33"/>
      <c r="H83" s="29"/>
      <c r="I83" s="28"/>
      <c r="J83" s="28"/>
      <c r="K83" s="39">
        <f>VLOOKUP(A83,OPTIONS!A:C,3,FALSE)*G83</f>
        <v>0</v>
      </c>
      <c r="L83" s="39" t="str">
        <f t="shared" si="6"/>
        <v/>
      </c>
      <c r="M83" s="39" t="str">
        <f t="shared" si="7"/>
        <v>0</v>
      </c>
      <c r="N83" s="39" t="str">
        <f t="shared" si="8"/>
        <v xml:space="preserve"> ()</v>
      </c>
    </row>
    <row r="84" spans="1:14" x14ac:dyDescent="0.3">
      <c r="A84" s="34"/>
      <c r="B84" s="38"/>
      <c r="C84" s="30"/>
      <c r="D84" s="29"/>
      <c r="E84" s="29"/>
      <c r="G84" s="33"/>
      <c r="H84" s="29"/>
      <c r="I84" s="28"/>
      <c r="J84" s="28"/>
      <c r="K84" s="39">
        <f>VLOOKUP(A84,OPTIONS!A:C,3,FALSE)*G84</f>
        <v>0</v>
      </c>
      <c r="L84" s="39" t="str">
        <f t="shared" si="6"/>
        <v/>
      </c>
      <c r="M84" s="39" t="str">
        <f t="shared" si="7"/>
        <v>0</v>
      </c>
      <c r="N84" s="39" t="str">
        <f t="shared" si="8"/>
        <v xml:space="preserve"> ()</v>
      </c>
    </row>
    <row r="85" spans="1:14" x14ac:dyDescent="0.3">
      <c r="A85" s="34"/>
      <c r="B85" s="38"/>
      <c r="C85" s="30"/>
      <c r="D85" s="29"/>
      <c r="E85" s="29"/>
      <c r="G85" s="33"/>
      <c r="H85" s="29"/>
      <c r="I85" s="28"/>
      <c r="J85" s="28"/>
      <c r="K85" s="39">
        <f>VLOOKUP(A85,OPTIONS!A:C,3,FALSE)*G85</f>
        <v>0</v>
      </c>
      <c r="L85" s="39" t="str">
        <f t="shared" si="6"/>
        <v/>
      </c>
      <c r="M85" s="39" t="str">
        <f t="shared" si="7"/>
        <v>0</v>
      </c>
      <c r="N85" s="39" t="str">
        <f t="shared" si="8"/>
        <v xml:space="preserve"> ()</v>
      </c>
    </row>
    <row r="86" spans="1:14" x14ac:dyDescent="0.3">
      <c r="A86" s="34"/>
      <c r="B86" s="38"/>
      <c r="C86" s="30"/>
      <c r="D86" s="29"/>
      <c r="E86" s="29"/>
      <c r="G86" s="33"/>
      <c r="H86" s="29"/>
      <c r="I86" s="28"/>
      <c r="J86" s="28"/>
      <c r="K86" s="39">
        <f>VLOOKUP(A86,OPTIONS!A:C,3,FALSE)*G86</f>
        <v>0</v>
      </c>
      <c r="L86" s="39" t="str">
        <f t="shared" si="6"/>
        <v/>
      </c>
      <c r="M86" s="39" t="str">
        <f t="shared" si="7"/>
        <v>0</v>
      </c>
      <c r="N86" s="39" t="str">
        <f t="shared" si="8"/>
        <v xml:space="preserve"> ()</v>
      </c>
    </row>
    <row r="87" spans="1:14" x14ac:dyDescent="0.3">
      <c r="A87" s="34"/>
      <c r="B87" s="38"/>
      <c r="C87" s="30"/>
      <c r="D87" s="29"/>
      <c r="E87" s="29"/>
      <c r="G87" s="33"/>
      <c r="H87" s="29"/>
      <c r="I87" s="28"/>
      <c r="J87" s="28"/>
      <c r="K87" s="39">
        <f>VLOOKUP(A87,OPTIONS!A:C,3,FALSE)*G87</f>
        <v>0</v>
      </c>
      <c r="L87" s="39" t="str">
        <f t="shared" si="6"/>
        <v/>
      </c>
      <c r="M87" s="39" t="str">
        <f t="shared" si="7"/>
        <v>0</v>
      </c>
      <c r="N87" s="39" t="str">
        <f t="shared" si="8"/>
        <v xml:space="preserve"> ()</v>
      </c>
    </row>
    <row r="88" spans="1:14" x14ac:dyDescent="0.3">
      <c r="A88" s="34"/>
      <c r="B88" s="38"/>
      <c r="C88" s="30"/>
      <c r="D88" s="29"/>
      <c r="E88" s="29"/>
      <c r="G88" s="33"/>
      <c r="H88" s="29"/>
      <c r="I88" s="28"/>
      <c r="J88" s="28"/>
      <c r="K88" s="39">
        <f>VLOOKUP(A88,OPTIONS!A:C,3,FALSE)*G88</f>
        <v>0</v>
      </c>
      <c r="L88" s="39" t="str">
        <f t="shared" si="6"/>
        <v/>
      </c>
      <c r="M88" s="39" t="str">
        <f t="shared" si="7"/>
        <v>0</v>
      </c>
      <c r="N88" s="39" t="str">
        <f t="shared" si="8"/>
        <v xml:space="preserve"> ()</v>
      </c>
    </row>
    <row r="89" spans="1:14" x14ac:dyDescent="0.3">
      <c r="A89" s="34"/>
      <c r="B89" s="38"/>
      <c r="C89" s="30"/>
      <c r="D89" s="29"/>
      <c r="E89" s="29"/>
      <c r="G89" s="33"/>
      <c r="H89" s="29"/>
      <c r="I89" s="28"/>
      <c r="J89" s="28"/>
      <c r="K89" s="39">
        <f>VLOOKUP(A89,OPTIONS!A:C,3,FALSE)*G89</f>
        <v>0</v>
      </c>
      <c r="L89" s="39" t="str">
        <f t="shared" ref="L89:L152" si="9">TRIM(CONCATENATE(G89," ", $H89, " ", $E89))</f>
        <v/>
      </c>
      <c r="M89" s="39" t="str">
        <f t="shared" ref="M89:M152" si="10">TRIM(CONCATENATE(K89," ", $H89, " ", $E89))</f>
        <v>0</v>
      </c>
      <c r="N89" s="39" t="str">
        <f t="shared" ref="N89:N152" si="11">CONCATENATE(E89, " (", TRIM(H89), ")")</f>
        <v xml:space="preserve"> ()</v>
      </c>
    </row>
    <row r="90" spans="1:14" x14ac:dyDescent="0.3">
      <c r="A90" s="34"/>
      <c r="B90" s="38"/>
      <c r="C90" s="30"/>
      <c r="D90" s="29"/>
      <c r="E90" s="29"/>
      <c r="G90" s="33"/>
      <c r="H90" s="29"/>
      <c r="I90" s="28"/>
      <c r="J90" s="28"/>
      <c r="K90" s="39">
        <f>VLOOKUP(A90,OPTIONS!A:C,3,FALSE)*G90</f>
        <v>0</v>
      </c>
      <c r="L90" s="39" t="str">
        <f t="shared" si="9"/>
        <v/>
      </c>
      <c r="M90" s="39" t="str">
        <f t="shared" si="10"/>
        <v>0</v>
      </c>
      <c r="N90" s="39" t="str">
        <f t="shared" si="11"/>
        <v xml:space="preserve"> ()</v>
      </c>
    </row>
    <row r="91" spans="1:14" x14ac:dyDescent="0.3">
      <c r="A91" s="34"/>
      <c r="B91" s="38"/>
      <c r="C91" s="30"/>
      <c r="D91" s="29"/>
      <c r="E91" s="29"/>
      <c r="G91" s="33"/>
      <c r="H91" s="29"/>
      <c r="I91" s="28"/>
      <c r="J91" s="28"/>
      <c r="K91" s="39">
        <f>VLOOKUP(A91,OPTIONS!A:C,3,FALSE)*G91</f>
        <v>0</v>
      </c>
      <c r="L91" s="39" t="str">
        <f t="shared" si="9"/>
        <v/>
      </c>
      <c r="M91" s="39" t="str">
        <f t="shared" si="10"/>
        <v>0</v>
      </c>
      <c r="N91" s="39" t="str">
        <f t="shared" si="11"/>
        <v xml:space="preserve"> ()</v>
      </c>
    </row>
    <row r="92" spans="1:14" x14ac:dyDescent="0.3">
      <c r="A92" s="34"/>
      <c r="B92" s="38"/>
      <c r="C92" s="30"/>
      <c r="D92" s="29"/>
      <c r="E92" s="29"/>
      <c r="G92" s="33"/>
      <c r="H92" s="29"/>
      <c r="I92" s="28"/>
      <c r="J92" s="28"/>
      <c r="K92" s="39">
        <f>VLOOKUP(A92,OPTIONS!A:C,3,FALSE)*G92</f>
        <v>0</v>
      </c>
      <c r="L92" s="39" t="str">
        <f t="shared" si="9"/>
        <v/>
      </c>
      <c r="M92" s="39" t="str">
        <f t="shared" si="10"/>
        <v>0</v>
      </c>
      <c r="N92" s="39" t="str">
        <f t="shared" si="11"/>
        <v xml:space="preserve"> ()</v>
      </c>
    </row>
    <row r="93" spans="1:14" x14ac:dyDescent="0.3">
      <c r="A93" s="34"/>
      <c r="B93" s="38"/>
      <c r="C93" s="30"/>
      <c r="D93" s="29"/>
      <c r="E93" s="29"/>
      <c r="G93" s="33"/>
      <c r="H93" s="29"/>
      <c r="I93" s="28"/>
      <c r="J93" s="28"/>
      <c r="K93" s="39">
        <f>VLOOKUP(A93,OPTIONS!A:C,3,FALSE)*G93</f>
        <v>0</v>
      </c>
      <c r="L93" s="39" t="str">
        <f t="shared" si="9"/>
        <v/>
      </c>
      <c r="M93" s="39" t="str">
        <f t="shared" si="10"/>
        <v>0</v>
      </c>
      <c r="N93" s="39" t="str">
        <f t="shared" si="11"/>
        <v xml:space="preserve"> ()</v>
      </c>
    </row>
    <row r="94" spans="1:14" x14ac:dyDescent="0.3">
      <c r="A94" s="34"/>
      <c r="B94" s="38"/>
      <c r="C94" s="30"/>
      <c r="D94" s="29"/>
      <c r="E94" s="29"/>
      <c r="G94" s="33"/>
      <c r="H94" s="29"/>
      <c r="I94" s="28"/>
      <c r="J94" s="28"/>
      <c r="K94" s="39">
        <f>VLOOKUP(A94,OPTIONS!A:C,3,FALSE)*G94</f>
        <v>0</v>
      </c>
      <c r="L94" s="39" t="str">
        <f t="shared" si="9"/>
        <v/>
      </c>
      <c r="M94" s="39" t="str">
        <f t="shared" si="10"/>
        <v>0</v>
      </c>
      <c r="N94" s="39" t="str">
        <f t="shared" si="11"/>
        <v xml:space="preserve"> ()</v>
      </c>
    </row>
    <row r="95" spans="1:14" x14ac:dyDescent="0.3">
      <c r="A95" s="34"/>
      <c r="B95" s="38"/>
      <c r="C95" s="30"/>
      <c r="D95" s="29"/>
      <c r="E95" s="29"/>
      <c r="G95" s="33"/>
      <c r="H95" s="29"/>
      <c r="I95" s="28"/>
      <c r="J95" s="28"/>
      <c r="K95" s="39">
        <f>VLOOKUP(A95,OPTIONS!A:C,3,FALSE)*G95</f>
        <v>0</v>
      </c>
      <c r="L95" s="39" t="str">
        <f t="shared" si="9"/>
        <v/>
      </c>
      <c r="M95" s="39" t="str">
        <f t="shared" si="10"/>
        <v>0</v>
      </c>
      <c r="N95" s="39" t="str">
        <f t="shared" si="11"/>
        <v xml:space="preserve"> ()</v>
      </c>
    </row>
    <row r="96" spans="1:14" x14ac:dyDescent="0.3">
      <c r="A96" s="34"/>
      <c r="B96" s="38"/>
      <c r="C96" s="30"/>
      <c r="D96" s="29"/>
      <c r="E96" s="29"/>
      <c r="G96" s="33"/>
      <c r="H96" s="29"/>
      <c r="I96" s="28"/>
      <c r="J96" s="28"/>
      <c r="K96" s="39">
        <f>VLOOKUP(A96,OPTIONS!A:C,3,FALSE)*G96</f>
        <v>0</v>
      </c>
      <c r="L96" s="39" t="str">
        <f t="shared" si="9"/>
        <v/>
      </c>
      <c r="M96" s="39" t="str">
        <f t="shared" si="10"/>
        <v>0</v>
      </c>
      <c r="N96" s="39" t="str">
        <f t="shared" si="11"/>
        <v xml:space="preserve"> ()</v>
      </c>
    </row>
    <row r="97" spans="1:14" x14ac:dyDescent="0.3">
      <c r="A97" s="34"/>
      <c r="B97" s="38"/>
      <c r="C97" s="30"/>
      <c r="D97" s="29"/>
      <c r="E97" s="29"/>
      <c r="G97" s="33"/>
      <c r="H97" s="29"/>
      <c r="I97" s="28"/>
      <c r="J97" s="28"/>
      <c r="K97" s="39">
        <f>VLOOKUP(A97,OPTIONS!A:C,3,FALSE)*G97</f>
        <v>0</v>
      </c>
      <c r="L97" s="39" t="str">
        <f t="shared" si="9"/>
        <v/>
      </c>
      <c r="M97" s="39" t="str">
        <f t="shared" si="10"/>
        <v>0</v>
      </c>
      <c r="N97" s="39" t="str">
        <f t="shared" si="11"/>
        <v xml:space="preserve"> ()</v>
      </c>
    </row>
    <row r="98" spans="1:14" x14ac:dyDescent="0.3">
      <c r="A98" s="34"/>
      <c r="B98" s="38"/>
      <c r="C98" s="30"/>
      <c r="D98" s="29"/>
      <c r="E98" s="29"/>
      <c r="G98" s="33"/>
      <c r="H98" s="29"/>
      <c r="I98" s="28"/>
      <c r="J98" s="28"/>
      <c r="K98" s="39">
        <f>VLOOKUP(A98,OPTIONS!A:C,3,FALSE)*G98</f>
        <v>0</v>
      </c>
      <c r="L98" s="39" t="str">
        <f t="shared" si="9"/>
        <v/>
      </c>
      <c r="M98" s="39" t="str">
        <f t="shared" si="10"/>
        <v>0</v>
      </c>
      <c r="N98" s="39" t="str">
        <f t="shared" si="11"/>
        <v xml:space="preserve"> ()</v>
      </c>
    </row>
    <row r="99" spans="1:14" x14ac:dyDescent="0.3">
      <c r="A99" s="34"/>
      <c r="B99" s="38"/>
      <c r="C99" s="30"/>
      <c r="D99" s="29"/>
      <c r="E99" s="29"/>
      <c r="G99" s="33"/>
      <c r="H99" s="29"/>
      <c r="I99" s="28"/>
      <c r="J99" s="28"/>
      <c r="K99" s="39">
        <f>VLOOKUP(A99,OPTIONS!A:C,3,FALSE)*G99</f>
        <v>0</v>
      </c>
      <c r="L99" s="39" t="str">
        <f t="shared" si="9"/>
        <v/>
      </c>
      <c r="M99" s="39" t="str">
        <f t="shared" si="10"/>
        <v>0</v>
      </c>
      <c r="N99" s="39" t="str">
        <f t="shared" si="11"/>
        <v xml:space="preserve"> ()</v>
      </c>
    </row>
    <row r="100" spans="1:14" x14ac:dyDescent="0.3">
      <c r="A100" s="34"/>
      <c r="B100" s="38"/>
      <c r="C100" s="30"/>
      <c r="D100" s="29"/>
      <c r="E100" s="29"/>
      <c r="G100" s="33"/>
      <c r="H100" s="29"/>
      <c r="I100" s="28"/>
      <c r="J100" s="28"/>
      <c r="K100" s="39">
        <f>VLOOKUP(A100,OPTIONS!A:C,3,FALSE)*G100</f>
        <v>0</v>
      </c>
      <c r="L100" s="39" t="str">
        <f t="shared" si="9"/>
        <v/>
      </c>
      <c r="M100" s="39" t="str">
        <f t="shared" si="10"/>
        <v>0</v>
      </c>
      <c r="N100" s="39" t="str">
        <f t="shared" si="11"/>
        <v xml:space="preserve"> ()</v>
      </c>
    </row>
    <row r="101" spans="1:14" x14ac:dyDescent="0.3">
      <c r="A101" s="34"/>
      <c r="B101" s="38"/>
      <c r="C101" s="30"/>
      <c r="D101" s="29"/>
      <c r="E101" s="29"/>
      <c r="G101" s="33"/>
      <c r="H101" s="29"/>
      <c r="I101" s="28"/>
      <c r="J101" s="28"/>
      <c r="K101" s="39">
        <f>VLOOKUP(A101,OPTIONS!A:C,3,FALSE)*G101</f>
        <v>0</v>
      </c>
      <c r="L101" s="39" t="str">
        <f t="shared" si="9"/>
        <v/>
      </c>
      <c r="M101" s="39" t="str">
        <f t="shared" si="10"/>
        <v>0</v>
      </c>
      <c r="N101" s="39" t="str">
        <f t="shared" si="11"/>
        <v xml:space="preserve"> ()</v>
      </c>
    </row>
    <row r="102" spans="1:14" x14ac:dyDescent="0.3">
      <c r="A102" s="34"/>
      <c r="B102" s="38"/>
      <c r="C102" s="30"/>
      <c r="D102" s="29"/>
      <c r="E102" s="29"/>
      <c r="G102" s="33"/>
      <c r="H102" s="29"/>
      <c r="I102" s="28"/>
      <c r="J102" s="28"/>
      <c r="K102" s="39">
        <f>VLOOKUP(A102,OPTIONS!A:C,3,FALSE)*G102</f>
        <v>0</v>
      </c>
      <c r="L102" s="39" t="str">
        <f t="shared" si="9"/>
        <v/>
      </c>
      <c r="M102" s="39" t="str">
        <f t="shared" si="10"/>
        <v>0</v>
      </c>
      <c r="N102" s="39" t="str">
        <f t="shared" si="11"/>
        <v xml:space="preserve"> ()</v>
      </c>
    </row>
    <row r="103" spans="1:14" x14ac:dyDescent="0.3">
      <c r="A103" s="34"/>
      <c r="B103" s="38"/>
      <c r="C103" s="30"/>
      <c r="D103" s="29"/>
      <c r="E103" s="29"/>
      <c r="G103" s="33"/>
      <c r="H103" s="29"/>
      <c r="I103" s="28"/>
      <c r="J103" s="28"/>
      <c r="K103" s="39">
        <f>VLOOKUP(A103,OPTIONS!A:C,3,FALSE)*G103</f>
        <v>0</v>
      </c>
      <c r="L103" s="39" t="str">
        <f t="shared" si="9"/>
        <v/>
      </c>
      <c r="M103" s="39" t="str">
        <f t="shared" si="10"/>
        <v>0</v>
      </c>
      <c r="N103" s="39" t="str">
        <f t="shared" si="11"/>
        <v xml:space="preserve"> ()</v>
      </c>
    </row>
    <row r="104" spans="1:14" x14ac:dyDescent="0.3">
      <c r="A104" s="34"/>
      <c r="B104" s="38"/>
      <c r="C104" s="30"/>
      <c r="D104" s="29"/>
      <c r="E104" s="29"/>
      <c r="G104" s="33"/>
      <c r="H104" s="29"/>
      <c r="I104" s="28"/>
      <c r="J104" s="28"/>
      <c r="K104" s="39">
        <f>VLOOKUP(A104,OPTIONS!A:C,3,FALSE)*G104</f>
        <v>0</v>
      </c>
      <c r="L104" s="39" t="str">
        <f t="shared" si="9"/>
        <v/>
      </c>
      <c r="M104" s="39" t="str">
        <f t="shared" si="10"/>
        <v>0</v>
      </c>
      <c r="N104" s="39" t="str">
        <f t="shared" si="11"/>
        <v xml:space="preserve"> ()</v>
      </c>
    </row>
    <row r="105" spans="1:14" x14ac:dyDescent="0.3">
      <c r="A105" s="34"/>
      <c r="B105" s="38"/>
      <c r="C105" s="30"/>
      <c r="D105" s="29"/>
      <c r="E105" s="29"/>
      <c r="G105" s="33"/>
      <c r="H105" s="29"/>
      <c r="I105" s="28"/>
      <c r="J105" s="28"/>
      <c r="K105" s="39">
        <f>VLOOKUP(A105,OPTIONS!A:C,3,FALSE)*G105</f>
        <v>0</v>
      </c>
      <c r="L105" s="39" t="str">
        <f t="shared" si="9"/>
        <v/>
      </c>
      <c r="M105" s="39" t="str">
        <f t="shared" si="10"/>
        <v>0</v>
      </c>
      <c r="N105" s="39" t="str">
        <f t="shared" si="11"/>
        <v xml:space="preserve"> ()</v>
      </c>
    </row>
    <row r="106" spans="1:14" x14ac:dyDescent="0.3">
      <c r="A106" s="34"/>
      <c r="B106" s="38"/>
      <c r="C106" s="30"/>
      <c r="D106" s="29"/>
      <c r="E106" s="29"/>
      <c r="G106" s="33"/>
      <c r="H106" s="29"/>
      <c r="I106" s="28"/>
      <c r="J106" s="28"/>
      <c r="K106" s="39">
        <f>VLOOKUP(A106,OPTIONS!A:C,3,FALSE)*G106</f>
        <v>0</v>
      </c>
      <c r="L106" s="39" t="str">
        <f t="shared" si="9"/>
        <v/>
      </c>
      <c r="M106" s="39" t="str">
        <f t="shared" si="10"/>
        <v>0</v>
      </c>
      <c r="N106" s="39" t="str">
        <f t="shared" si="11"/>
        <v xml:space="preserve"> ()</v>
      </c>
    </row>
    <row r="107" spans="1:14" x14ac:dyDescent="0.3">
      <c r="A107" s="34"/>
      <c r="B107" s="38"/>
      <c r="C107" s="30"/>
      <c r="D107" s="29"/>
      <c r="E107" s="29"/>
      <c r="G107" s="33"/>
      <c r="H107" s="29"/>
      <c r="I107" s="28"/>
      <c r="J107" s="28"/>
      <c r="K107" s="39">
        <f>VLOOKUP(A107,OPTIONS!A:C,3,FALSE)*G107</f>
        <v>0</v>
      </c>
      <c r="L107" s="39" t="str">
        <f t="shared" si="9"/>
        <v/>
      </c>
      <c r="M107" s="39" t="str">
        <f t="shared" si="10"/>
        <v>0</v>
      </c>
      <c r="N107" s="39" t="str">
        <f t="shared" si="11"/>
        <v xml:space="preserve"> ()</v>
      </c>
    </row>
    <row r="108" spans="1:14" x14ac:dyDescent="0.3">
      <c r="A108" s="34"/>
      <c r="B108" s="38"/>
      <c r="C108" s="30"/>
      <c r="D108" s="29"/>
      <c r="E108" s="29"/>
      <c r="G108" s="33"/>
      <c r="H108" s="29"/>
      <c r="I108" s="28"/>
      <c r="J108" s="28"/>
      <c r="K108" s="39">
        <f>VLOOKUP(A108,OPTIONS!A:C,3,FALSE)*G108</f>
        <v>0</v>
      </c>
      <c r="L108" s="39" t="str">
        <f t="shared" si="9"/>
        <v/>
      </c>
      <c r="M108" s="39" t="str">
        <f t="shared" si="10"/>
        <v>0</v>
      </c>
      <c r="N108" s="39" t="str">
        <f t="shared" si="11"/>
        <v xml:space="preserve"> ()</v>
      </c>
    </row>
    <row r="109" spans="1:14" x14ac:dyDescent="0.3">
      <c r="A109" s="34"/>
      <c r="B109" s="38"/>
      <c r="C109" s="30"/>
      <c r="D109" s="29"/>
      <c r="E109" s="29"/>
      <c r="G109" s="33"/>
      <c r="H109" s="29"/>
      <c r="I109" s="28"/>
      <c r="J109" s="28"/>
      <c r="K109" s="39">
        <f>VLOOKUP(A109,OPTIONS!A:C,3,FALSE)*G109</f>
        <v>0</v>
      </c>
      <c r="L109" s="39" t="str">
        <f t="shared" si="9"/>
        <v/>
      </c>
      <c r="M109" s="39" t="str">
        <f t="shared" si="10"/>
        <v>0</v>
      </c>
      <c r="N109" s="39" t="str">
        <f t="shared" si="11"/>
        <v xml:space="preserve"> ()</v>
      </c>
    </row>
    <row r="110" spans="1:14" x14ac:dyDescent="0.3">
      <c r="A110" s="34"/>
      <c r="B110" s="38"/>
      <c r="C110" s="30"/>
      <c r="D110" s="29"/>
      <c r="E110" s="29"/>
      <c r="G110" s="33"/>
      <c r="H110" s="29"/>
      <c r="I110" s="28"/>
      <c r="J110" s="28"/>
      <c r="K110" s="39">
        <f>VLOOKUP(A110,OPTIONS!A:C,3,FALSE)*G110</f>
        <v>0</v>
      </c>
      <c r="L110" s="39" t="str">
        <f t="shared" si="9"/>
        <v/>
      </c>
      <c r="M110" s="39" t="str">
        <f t="shared" si="10"/>
        <v>0</v>
      </c>
      <c r="N110" s="39" t="str">
        <f t="shared" si="11"/>
        <v xml:space="preserve"> ()</v>
      </c>
    </row>
    <row r="111" spans="1:14" x14ac:dyDescent="0.3">
      <c r="A111" s="34"/>
      <c r="B111" s="38"/>
      <c r="C111" s="30"/>
      <c r="D111" s="29"/>
      <c r="E111" s="29"/>
      <c r="G111" s="33"/>
      <c r="H111" s="29"/>
      <c r="I111" s="28"/>
      <c r="J111" s="28"/>
      <c r="K111" s="39">
        <f>VLOOKUP(A111,OPTIONS!A:C,3,FALSE)*G111</f>
        <v>0</v>
      </c>
      <c r="L111" s="39" t="str">
        <f t="shared" si="9"/>
        <v/>
      </c>
      <c r="M111" s="39" t="str">
        <f t="shared" si="10"/>
        <v>0</v>
      </c>
      <c r="N111" s="39" t="str">
        <f t="shared" si="11"/>
        <v xml:space="preserve"> ()</v>
      </c>
    </row>
    <row r="112" spans="1:14" x14ac:dyDescent="0.3">
      <c r="A112" s="34"/>
      <c r="B112" s="38"/>
      <c r="C112" s="30"/>
      <c r="D112" s="29"/>
      <c r="E112" s="29"/>
      <c r="G112" s="33"/>
      <c r="H112" s="29"/>
      <c r="I112" s="28"/>
      <c r="J112" s="28"/>
      <c r="K112" s="39">
        <f>VLOOKUP(A112,OPTIONS!A:C,3,FALSE)*G112</f>
        <v>0</v>
      </c>
      <c r="L112" s="39" t="str">
        <f t="shared" si="9"/>
        <v/>
      </c>
      <c r="M112" s="39" t="str">
        <f t="shared" si="10"/>
        <v>0</v>
      </c>
      <c r="N112" s="39" t="str">
        <f t="shared" si="11"/>
        <v xml:space="preserve"> ()</v>
      </c>
    </row>
    <row r="113" spans="1:14" x14ac:dyDescent="0.3">
      <c r="A113" s="34"/>
      <c r="B113" s="38"/>
      <c r="C113" s="30"/>
      <c r="D113" s="29"/>
      <c r="E113" s="29"/>
      <c r="G113" s="33"/>
      <c r="H113" s="29"/>
      <c r="I113" s="28"/>
      <c r="J113" s="28"/>
      <c r="K113" s="39">
        <f>VLOOKUP(A113,OPTIONS!A:C,3,FALSE)*G113</f>
        <v>0</v>
      </c>
      <c r="L113" s="39" t="str">
        <f t="shared" si="9"/>
        <v/>
      </c>
      <c r="M113" s="39" t="str">
        <f t="shared" si="10"/>
        <v>0</v>
      </c>
      <c r="N113" s="39" t="str">
        <f t="shared" si="11"/>
        <v xml:space="preserve"> ()</v>
      </c>
    </row>
    <row r="114" spans="1:14" x14ac:dyDescent="0.3">
      <c r="A114" s="34"/>
      <c r="B114" s="38"/>
      <c r="C114" s="30"/>
      <c r="D114" s="29"/>
      <c r="E114" s="29"/>
      <c r="G114" s="33"/>
      <c r="H114" s="29"/>
      <c r="I114" s="28"/>
      <c r="J114" s="28"/>
      <c r="K114" s="39">
        <f>VLOOKUP(A114,OPTIONS!A:C,3,FALSE)*G114</f>
        <v>0</v>
      </c>
      <c r="L114" s="39" t="str">
        <f t="shared" si="9"/>
        <v/>
      </c>
      <c r="M114" s="39" t="str">
        <f t="shared" si="10"/>
        <v>0</v>
      </c>
      <c r="N114" s="39" t="str">
        <f t="shared" si="11"/>
        <v xml:space="preserve"> ()</v>
      </c>
    </row>
    <row r="115" spans="1:14" x14ac:dyDescent="0.3">
      <c r="A115" s="34"/>
      <c r="B115" s="38"/>
      <c r="C115" s="30"/>
      <c r="D115" s="29"/>
      <c r="E115" s="29"/>
      <c r="G115" s="33"/>
      <c r="H115" s="29"/>
      <c r="I115" s="28"/>
      <c r="J115" s="28"/>
      <c r="K115" s="39">
        <f>VLOOKUP(A115,OPTIONS!A:C,3,FALSE)*G115</f>
        <v>0</v>
      </c>
      <c r="L115" s="39" t="str">
        <f t="shared" si="9"/>
        <v/>
      </c>
      <c r="M115" s="39" t="str">
        <f t="shared" si="10"/>
        <v>0</v>
      </c>
      <c r="N115" s="39" t="str">
        <f t="shared" si="11"/>
        <v xml:space="preserve"> ()</v>
      </c>
    </row>
    <row r="116" spans="1:14" x14ac:dyDescent="0.3">
      <c r="A116" s="34"/>
      <c r="B116" s="38"/>
      <c r="C116" s="30"/>
      <c r="D116" s="29"/>
      <c r="E116" s="29"/>
      <c r="G116" s="33"/>
      <c r="H116" s="29"/>
      <c r="I116" s="28"/>
      <c r="J116" s="28"/>
      <c r="K116" s="39">
        <f>VLOOKUP(A116,OPTIONS!A:C,3,FALSE)*G116</f>
        <v>0</v>
      </c>
      <c r="L116" s="39" t="str">
        <f t="shared" si="9"/>
        <v/>
      </c>
      <c r="M116" s="39" t="str">
        <f t="shared" si="10"/>
        <v>0</v>
      </c>
      <c r="N116" s="39" t="str">
        <f t="shared" si="11"/>
        <v xml:space="preserve"> ()</v>
      </c>
    </row>
    <row r="117" spans="1:14" x14ac:dyDescent="0.3">
      <c r="A117" s="34"/>
      <c r="B117" s="38"/>
      <c r="C117" s="30"/>
      <c r="D117" s="29"/>
      <c r="E117" s="29"/>
      <c r="G117" s="33"/>
      <c r="H117" s="29"/>
      <c r="I117" s="28"/>
      <c r="J117" s="28"/>
      <c r="K117" s="39">
        <f>VLOOKUP(A117,OPTIONS!A:C,3,FALSE)*G117</f>
        <v>0</v>
      </c>
      <c r="L117" s="39" t="str">
        <f t="shared" si="9"/>
        <v/>
      </c>
      <c r="M117" s="39" t="str">
        <f t="shared" si="10"/>
        <v>0</v>
      </c>
      <c r="N117" s="39" t="str">
        <f t="shared" si="11"/>
        <v xml:space="preserve"> ()</v>
      </c>
    </row>
    <row r="118" spans="1:14" x14ac:dyDescent="0.3">
      <c r="A118" s="34"/>
      <c r="B118" s="38"/>
      <c r="C118" s="30"/>
      <c r="D118" s="29"/>
      <c r="E118" s="29"/>
      <c r="G118" s="33"/>
      <c r="H118" s="29"/>
      <c r="I118" s="28"/>
      <c r="J118" s="28"/>
      <c r="K118" s="39">
        <f>VLOOKUP(A118,OPTIONS!A:C,3,FALSE)*G118</f>
        <v>0</v>
      </c>
      <c r="L118" s="39" t="str">
        <f t="shared" si="9"/>
        <v/>
      </c>
      <c r="M118" s="39" t="str">
        <f t="shared" si="10"/>
        <v>0</v>
      </c>
      <c r="N118" s="39" t="str">
        <f t="shared" si="11"/>
        <v xml:space="preserve"> ()</v>
      </c>
    </row>
    <row r="119" spans="1:14" x14ac:dyDescent="0.3">
      <c r="A119" s="34"/>
      <c r="B119" s="38"/>
      <c r="C119" s="30"/>
      <c r="D119" s="29"/>
      <c r="E119" s="29"/>
      <c r="G119" s="33"/>
      <c r="H119" s="29"/>
      <c r="I119" s="28"/>
      <c r="J119" s="28"/>
      <c r="K119" s="39">
        <f>VLOOKUP(A119,OPTIONS!A:C,3,FALSE)*G119</f>
        <v>0</v>
      </c>
      <c r="L119" s="39" t="str">
        <f t="shared" si="9"/>
        <v/>
      </c>
      <c r="M119" s="39" t="str">
        <f t="shared" si="10"/>
        <v>0</v>
      </c>
      <c r="N119" s="39" t="str">
        <f t="shared" si="11"/>
        <v xml:space="preserve"> ()</v>
      </c>
    </row>
    <row r="120" spans="1:14" x14ac:dyDescent="0.3">
      <c r="A120" s="34"/>
      <c r="B120" s="38"/>
      <c r="C120" s="30"/>
      <c r="D120" s="29"/>
      <c r="E120" s="29"/>
      <c r="G120" s="33"/>
      <c r="H120" s="29"/>
      <c r="I120" s="28"/>
      <c r="J120" s="28"/>
      <c r="K120" s="39">
        <f>VLOOKUP(A120,OPTIONS!A:C,3,FALSE)*G120</f>
        <v>0</v>
      </c>
      <c r="L120" s="39" t="str">
        <f t="shared" si="9"/>
        <v/>
      </c>
      <c r="M120" s="39" t="str">
        <f t="shared" si="10"/>
        <v>0</v>
      </c>
      <c r="N120" s="39" t="str">
        <f t="shared" si="11"/>
        <v xml:space="preserve"> ()</v>
      </c>
    </row>
    <row r="121" spans="1:14" x14ac:dyDescent="0.3">
      <c r="A121" s="34"/>
      <c r="B121" s="38"/>
      <c r="C121" s="30"/>
      <c r="D121" s="29"/>
      <c r="E121" s="29"/>
      <c r="G121" s="33"/>
      <c r="H121" s="29"/>
      <c r="I121" s="28"/>
      <c r="J121" s="28"/>
      <c r="K121" s="39">
        <f>VLOOKUP(A121,OPTIONS!A:C,3,FALSE)*G121</f>
        <v>0</v>
      </c>
      <c r="L121" s="39" t="str">
        <f t="shared" si="9"/>
        <v/>
      </c>
      <c r="M121" s="39" t="str">
        <f t="shared" si="10"/>
        <v>0</v>
      </c>
      <c r="N121" s="39" t="str">
        <f t="shared" si="11"/>
        <v xml:space="preserve"> ()</v>
      </c>
    </row>
    <row r="122" spans="1:14" x14ac:dyDescent="0.3">
      <c r="A122" s="34"/>
      <c r="B122" s="38"/>
      <c r="C122" s="30"/>
      <c r="D122" s="29"/>
      <c r="E122" s="29"/>
      <c r="G122" s="33"/>
      <c r="H122" s="29"/>
      <c r="I122" s="28"/>
      <c r="J122" s="28"/>
      <c r="K122" s="39">
        <f>VLOOKUP(A122,OPTIONS!A:C,3,FALSE)*G122</f>
        <v>0</v>
      </c>
      <c r="L122" s="39" t="str">
        <f t="shared" si="9"/>
        <v/>
      </c>
      <c r="M122" s="39" t="str">
        <f t="shared" si="10"/>
        <v>0</v>
      </c>
      <c r="N122" s="39" t="str">
        <f t="shared" si="11"/>
        <v xml:space="preserve"> ()</v>
      </c>
    </row>
    <row r="123" spans="1:14" x14ac:dyDescent="0.3">
      <c r="A123" s="34"/>
      <c r="B123" s="38"/>
      <c r="C123" s="30"/>
      <c r="D123" s="29"/>
      <c r="E123" s="29"/>
      <c r="G123" s="33"/>
      <c r="H123" s="29"/>
      <c r="I123" s="28"/>
      <c r="J123" s="28"/>
      <c r="K123" s="39">
        <f>VLOOKUP(A123,OPTIONS!A:C,3,FALSE)*G123</f>
        <v>0</v>
      </c>
      <c r="L123" s="39" t="str">
        <f t="shared" si="9"/>
        <v/>
      </c>
      <c r="M123" s="39" t="str">
        <f t="shared" si="10"/>
        <v>0</v>
      </c>
      <c r="N123" s="39" t="str">
        <f t="shared" si="11"/>
        <v xml:space="preserve"> ()</v>
      </c>
    </row>
    <row r="124" spans="1:14" x14ac:dyDescent="0.3">
      <c r="A124" s="34"/>
      <c r="B124" s="38"/>
      <c r="C124" s="30"/>
      <c r="D124" s="29"/>
      <c r="E124" s="29"/>
      <c r="G124" s="33"/>
      <c r="H124" s="29"/>
      <c r="I124" s="28"/>
      <c r="J124" s="28"/>
      <c r="K124" s="39">
        <f>VLOOKUP(A124,OPTIONS!A:C,3,FALSE)*G124</f>
        <v>0</v>
      </c>
      <c r="L124" s="39" t="str">
        <f t="shared" si="9"/>
        <v/>
      </c>
      <c r="M124" s="39" t="str">
        <f t="shared" si="10"/>
        <v>0</v>
      </c>
      <c r="N124" s="39" t="str">
        <f t="shared" si="11"/>
        <v xml:space="preserve"> ()</v>
      </c>
    </row>
    <row r="125" spans="1:14" x14ac:dyDescent="0.3">
      <c r="A125" s="34"/>
      <c r="B125" s="38"/>
      <c r="C125" s="30"/>
      <c r="D125" s="29"/>
      <c r="E125" s="29"/>
      <c r="G125" s="33"/>
      <c r="H125" s="29"/>
      <c r="I125" s="28"/>
      <c r="J125" s="28"/>
      <c r="K125" s="39">
        <f>VLOOKUP(A125,OPTIONS!A:C,3,FALSE)*G125</f>
        <v>0</v>
      </c>
      <c r="L125" s="39" t="str">
        <f t="shared" si="9"/>
        <v/>
      </c>
      <c r="M125" s="39" t="str">
        <f t="shared" si="10"/>
        <v>0</v>
      </c>
      <c r="N125" s="39" t="str">
        <f t="shared" si="11"/>
        <v xml:space="preserve"> ()</v>
      </c>
    </row>
    <row r="126" spans="1:14" x14ac:dyDescent="0.3">
      <c r="A126" s="34"/>
      <c r="B126" s="38"/>
      <c r="C126" s="30"/>
      <c r="D126" s="29"/>
      <c r="E126" s="29"/>
      <c r="G126" s="33"/>
      <c r="H126" s="29"/>
      <c r="I126" s="28"/>
      <c r="J126" s="28"/>
      <c r="K126" s="39">
        <f>VLOOKUP(A126,OPTIONS!A:C,3,FALSE)*G126</f>
        <v>0</v>
      </c>
      <c r="L126" s="39" t="str">
        <f t="shared" si="9"/>
        <v/>
      </c>
      <c r="M126" s="39" t="str">
        <f t="shared" si="10"/>
        <v>0</v>
      </c>
      <c r="N126" s="39" t="str">
        <f t="shared" si="11"/>
        <v xml:space="preserve"> ()</v>
      </c>
    </row>
    <row r="127" spans="1:14" x14ac:dyDescent="0.3">
      <c r="A127" s="34"/>
      <c r="B127" s="38"/>
      <c r="C127" s="30"/>
      <c r="D127" s="29"/>
      <c r="E127" s="29"/>
      <c r="G127" s="33"/>
      <c r="H127" s="29"/>
      <c r="I127" s="28"/>
      <c r="J127" s="28"/>
      <c r="K127" s="39">
        <f>VLOOKUP(A127,OPTIONS!A:C,3,FALSE)*G127</f>
        <v>0</v>
      </c>
      <c r="L127" s="39" t="str">
        <f t="shared" si="9"/>
        <v/>
      </c>
      <c r="M127" s="39" t="str">
        <f t="shared" si="10"/>
        <v>0</v>
      </c>
      <c r="N127" s="39" t="str">
        <f t="shared" si="11"/>
        <v xml:space="preserve"> ()</v>
      </c>
    </row>
    <row r="128" spans="1:14" x14ac:dyDescent="0.3">
      <c r="A128" s="34"/>
      <c r="B128" s="38"/>
      <c r="C128" s="30"/>
      <c r="D128" s="29"/>
      <c r="E128" s="29"/>
      <c r="G128" s="33"/>
      <c r="H128" s="29"/>
      <c r="I128" s="28"/>
      <c r="J128" s="28"/>
      <c r="K128" s="39">
        <f>VLOOKUP(A128,OPTIONS!A:C,3,FALSE)*G128</f>
        <v>0</v>
      </c>
      <c r="L128" s="39" t="str">
        <f t="shared" si="9"/>
        <v/>
      </c>
      <c r="M128" s="39" t="str">
        <f t="shared" si="10"/>
        <v>0</v>
      </c>
      <c r="N128" s="39" t="str">
        <f t="shared" si="11"/>
        <v xml:space="preserve"> ()</v>
      </c>
    </row>
    <row r="129" spans="1:14" x14ac:dyDescent="0.3">
      <c r="A129" s="34"/>
      <c r="B129" s="38"/>
      <c r="C129" s="30"/>
      <c r="D129" s="29"/>
      <c r="E129" s="29"/>
      <c r="G129" s="33"/>
      <c r="H129" s="29"/>
      <c r="I129" s="28"/>
      <c r="J129" s="28"/>
      <c r="K129" s="39">
        <f>VLOOKUP(A129,OPTIONS!A:C,3,FALSE)*G129</f>
        <v>0</v>
      </c>
      <c r="L129" s="39" t="str">
        <f t="shared" si="9"/>
        <v/>
      </c>
      <c r="M129" s="39" t="str">
        <f t="shared" si="10"/>
        <v>0</v>
      </c>
      <c r="N129" s="39" t="str">
        <f t="shared" si="11"/>
        <v xml:space="preserve"> ()</v>
      </c>
    </row>
    <row r="130" spans="1:14" x14ac:dyDescent="0.3">
      <c r="A130" s="34"/>
      <c r="B130" s="38"/>
      <c r="C130" s="30"/>
      <c r="D130" s="29"/>
      <c r="E130" s="29"/>
      <c r="G130" s="33"/>
      <c r="H130" s="29"/>
      <c r="I130" s="28"/>
      <c r="J130" s="28"/>
      <c r="K130" s="39">
        <f>VLOOKUP(A130,OPTIONS!A:C,3,FALSE)*G130</f>
        <v>0</v>
      </c>
      <c r="L130" s="39" t="str">
        <f t="shared" si="9"/>
        <v/>
      </c>
      <c r="M130" s="39" t="str">
        <f t="shared" si="10"/>
        <v>0</v>
      </c>
      <c r="N130" s="39" t="str">
        <f t="shared" si="11"/>
        <v xml:space="preserve"> ()</v>
      </c>
    </row>
    <row r="131" spans="1:14" x14ac:dyDescent="0.3">
      <c r="A131" s="34"/>
      <c r="B131" s="38"/>
      <c r="C131" s="30"/>
      <c r="D131" s="29"/>
      <c r="E131" s="29"/>
      <c r="G131" s="33"/>
      <c r="H131" s="29"/>
      <c r="I131" s="28"/>
      <c r="J131" s="28"/>
      <c r="K131" s="39">
        <f>VLOOKUP(A131,OPTIONS!A:C,3,FALSE)*G131</f>
        <v>0</v>
      </c>
      <c r="L131" s="39" t="str">
        <f t="shared" si="9"/>
        <v/>
      </c>
      <c r="M131" s="39" t="str">
        <f t="shared" si="10"/>
        <v>0</v>
      </c>
      <c r="N131" s="39" t="str">
        <f t="shared" si="11"/>
        <v xml:space="preserve"> ()</v>
      </c>
    </row>
    <row r="132" spans="1:14" x14ac:dyDescent="0.3">
      <c r="A132" s="34"/>
      <c r="B132" s="38"/>
      <c r="C132" s="30"/>
      <c r="D132" s="29"/>
      <c r="E132" s="29"/>
      <c r="G132" s="33"/>
      <c r="H132" s="29"/>
      <c r="I132" s="28"/>
      <c r="J132" s="28"/>
      <c r="K132" s="39">
        <f>VLOOKUP(A132,OPTIONS!A:C,3,FALSE)*G132</f>
        <v>0</v>
      </c>
      <c r="L132" s="39" t="str">
        <f t="shared" si="9"/>
        <v/>
      </c>
      <c r="M132" s="39" t="str">
        <f t="shared" si="10"/>
        <v>0</v>
      </c>
      <c r="N132" s="39" t="str">
        <f t="shared" si="11"/>
        <v xml:space="preserve"> ()</v>
      </c>
    </row>
    <row r="133" spans="1:14" x14ac:dyDescent="0.3">
      <c r="A133" s="34"/>
      <c r="B133" s="38"/>
      <c r="C133" s="30"/>
      <c r="D133" s="29"/>
      <c r="E133" s="29"/>
      <c r="G133" s="33"/>
      <c r="H133" s="29"/>
      <c r="I133" s="28"/>
      <c r="J133" s="28"/>
      <c r="K133" s="39">
        <f>VLOOKUP(A133,OPTIONS!A:C,3,FALSE)*G133</f>
        <v>0</v>
      </c>
      <c r="L133" s="39" t="str">
        <f t="shared" si="9"/>
        <v/>
      </c>
      <c r="M133" s="39" t="str">
        <f t="shared" si="10"/>
        <v>0</v>
      </c>
      <c r="N133" s="39" t="str">
        <f t="shared" si="11"/>
        <v xml:space="preserve"> ()</v>
      </c>
    </row>
    <row r="134" spans="1:14" x14ac:dyDescent="0.3">
      <c r="A134" s="34"/>
      <c r="B134" s="38"/>
      <c r="C134" s="30"/>
      <c r="D134" s="29"/>
      <c r="E134" s="29"/>
      <c r="G134" s="33"/>
      <c r="H134" s="29"/>
      <c r="I134" s="28"/>
      <c r="J134" s="28"/>
      <c r="K134" s="39">
        <f>VLOOKUP(A134,OPTIONS!A:C,3,FALSE)*G134</f>
        <v>0</v>
      </c>
      <c r="L134" s="39" t="str">
        <f t="shared" si="9"/>
        <v/>
      </c>
      <c r="M134" s="39" t="str">
        <f t="shared" si="10"/>
        <v>0</v>
      </c>
      <c r="N134" s="39" t="str">
        <f t="shared" si="11"/>
        <v xml:space="preserve"> ()</v>
      </c>
    </row>
    <row r="135" spans="1:14" x14ac:dyDescent="0.3">
      <c r="A135" s="34"/>
      <c r="B135" s="38"/>
      <c r="C135" s="30"/>
      <c r="D135" s="29"/>
      <c r="E135" s="29"/>
      <c r="G135" s="33"/>
      <c r="H135" s="29"/>
      <c r="I135" s="28"/>
      <c r="J135" s="28"/>
      <c r="K135" s="39">
        <f>VLOOKUP(A135,OPTIONS!A:C,3,FALSE)*G135</f>
        <v>0</v>
      </c>
      <c r="L135" s="39" t="str">
        <f t="shared" si="9"/>
        <v/>
      </c>
      <c r="M135" s="39" t="str">
        <f t="shared" si="10"/>
        <v>0</v>
      </c>
      <c r="N135" s="39" t="str">
        <f t="shared" si="11"/>
        <v xml:space="preserve"> ()</v>
      </c>
    </row>
    <row r="136" spans="1:14" x14ac:dyDescent="0.3">
      <c r="A136" s="34"/>
      <c r="B136" s="38"/>
      <c r="C136" s="30"/>
      <c r="D136" s="29"/>
      <c r="E136" s="29"/>
      <c r="G136" s="33"/>
      <c r="H136" s="29"/>
      <c r="I136" s="28"/>
      <c r="J136" s="28"/>
      <c r="K136" s="39">
        <f>VLOOKUP(A136,OPTIONS!A:C,3,FALSE)*G136</f>
        <v>0</v>
      </c>
      <c r="L136" s="39" t="str">
        <f t="shared" si="9"/>
        <v/>
      </c>
      <c r="M136" s="39" t="str">
        <f t="shared" si="10"/>
        <v>0</v>
      </c>
      <c r="N136" s="39" t="str">
        <f t="shared" si="11"/>
        <v xml:space="preserve"> ()</v>
      </c>
    </row>
    <row r="137" spans="1:14" x14ac:dyDescent="0.3">
      <c r="A137" s="34"/>
      <c r="B137" s="38"/>
      <c r="C137" s="30"/>
      <c r="D137" s="29"/>
      <c r="E137" s="29"/>
      <c r="G137" s="33"/>
      <c r="H137" s="29"/>
      <c r="I137" s="28"/>
      <c r="J137" s="28"/>
      <c r="K137" s="39">
        <f>VLOOKUP(A137,OPTIONS!A:C,3,FALSE)*G137</f>
        <v>0</v>
      </c>
      <c r="L137" s="39" t="str">
        <f t="shared" si="9"/>
        <v/>
      </c>
      <c r="M137" s="39" t="str">
        <f t="shared" si="10"/>
        <v>0</v>
      </c>
      <c r="N137" s="39" t="str">
        <f t="shared" si="11"/>
        <v xml:space="preserve"> ()</v>
      </c>
    </row>
    <row r="138" spans="1:14" x14ac:dyDescent="0.3">
      <c r="A138" s="34"/>
      <c r="B138" s="38"/>
      <c r="C138" s="30"/>
      <c r="D138" s="29"/>
      <c r="E138" s="29"/>
      <c r="G138" s="33"/>
      <c r="H138" s="29"/>
      <c r="I138" s="28"/>
      <c r="J138" s="28"/>
      <c r="K138" s="39">
        <f>VLOOKUP(A138,OPTIONS!A:C,3,FALSE)*G138</f>
        <v>0</v>
      </c>
      <c r="L138" s="39" t="str">
        <f t="shared" si="9"/>
        <v/>
      </c>
      <c r="M138" s="39" t="str">
        <f t="shared" si="10"/>
        <v>0</v>
      </c>
      <c r="N138" s="39" t="str">
        <f t="shared" si="11"/>
        <v xml:space="preserve"> ()</v>
      </c>
    </row>
    <row r="139" spans="1:14" x14ac:dyDescent="0.3">
      <c r="A139" s="34"/>
      <c r="B139" s="38"/>
      <c r="C139" s="30"/>
      <c r="D139" s="29"/>
      <c r="E139" s="29"/>
      <c r="G139" s="33"/>
      <c r="H139" s="29"/>
      <c r="I139" s="28"/>
      <c r="J139" s="28"/>
      <c r="K139" s="39">
        <f>VLOOKUP(A139,OPTIONS!A:C,3,FALSE)*G139</f>
        <v>0</v>
      </c>
      <c r="L139" s="39" t="str">
        <f t="shared" si="9"/>
        <v/>
      </c>
      <c r="M139" s="39" t="str">
        <f t="shared" si="10"/>
        <v>0</v>
      </c>
      <c r="N139" s="39" t="str">
        <f t="shared" si="11"/>
        <v xml:space="preserve"> ()</v>
      </c>
    </row>
    <row r="140" spans="1:14" x14ac:dyDescent="0.3">
      <c r="A140" s="34"/>
      <c r="B140" s="38"/>
      <c r="C140" s="30"/>
      <c r="D140" s="29"/>
      <c r="E140" s="29"/>
      <c r="G140" s="33"/>
      <c r="H140" s="29"/>
      <c r="I140" s="28"/>
      <c r="J140" s="28"/>
      <c r="K140" s="39">
        <f>VLOOKUP(A140,OPTIONS!A:C,3,FALSE)*G140</f>
        <v>0</v>
      </c>
      <c r="L140" s="39" t="str">
        <f t="shared" si="9"/>
        <v/>
      </c>
      <c r="M140" s="39" t="str">
        <f t="shared" si="10"/>
        <v>0</v>
      </c>
      <c r="N140" s="39" t="str">
        <f t="shared" si="11"/>
        <v xml:space="preserve"> ()</v>
      </c>
    </row>
    <row r="141" spans="1:14" x14ac:dyDescent="0.3">
      <c r="A141" s="34"/>
      <c r="B141" s="38"/>
      <c r="C141" s="30"/>
      <c r="D141" s="29"/>
      <c r="E141" s="29"/>
      <c r="G141" s="33"/>
      <c r="H141" s="29"/>
      <c r="I141" s="28"/>
      <c r="J141" s="28"/>
      <c r="K141" s="39">
        <f>VLOOKUP(A141,OPTIONS!A:C,3,FALSE)*G141</f>
        <v>0</v>
      </c>
      <c r="L141" s="39" t="str">
        <f t="shared" si="9"/>
        <v/>
      </c>
      <c r="M141" s="39" t="str">
        <f t="shared" si="10"/>
        <v>0</v>
      </c>
      <c r="N141" s="39" t="str">
        <f t="shared" si="11"/>
        <v xml:space="preserve"> ()</v>
      </c>
    </row>
    <row r="142" spans="1:14" x14ac:dyDescent="0.3">
      <c r="A142" s="34"/>
      <c r="B142" s="38"/>
      <c r="C142" s="30"/>
      <c r="D142" s="29"/>
      <c r="E142" s="29"/>
      <c r="G142" s="33"/>
      <c r="H142" s="29"/>
      <c r="I142" s="28"/>
      <c r="J142" s="28"/>
      <c r="K142" s="39">
        <f>VLOOKUP(A142,OPTIONS!A:C,3,FALSE)*G142</f>
        <v>0</v>
      </c>
      <c r="L142" s="39" t="str">
        <f t="shared" si="9"/>
        <v/>
      </c>
      <c r="M142" s="39" t="str">
        <f t="shared" si="10"/>
        <v>0</v>
      </c>
      <c r="N142" s="39" t="str">
        <f t="shared" si="11"/>
        <v xml:space="preserve"> ()</v>
      </c>
    </row>
    <row r="143" spans="1:14" x14ac:dyDescent="0.3">
      <c r="A143" s="34"/>
      <c r="B143" s="38"/>
      <c r="C143" s="30"/>
      <c r="D143" s="29"/>
      <c r="E143" s="29"/>
      <c r="G143" s="33"/>
      <c r="H143" s="29"/>
      <c r="I143" s="28"/>
      <c r="J143" s="28"/>
      <c r="K143" s="39">
        <f>VLOOKUP(A143,OPTIONS!A:C,3,FALSE)*G143</f>
        <v>0</v>
      </c>
      <c r="L143" s="39" t="str">
        <f t="shared" si="9"/>
        <v/>
      </c>
      <c r="M143" s="39" t="str">
        <f t="shared" si="10"/>
        <v>0</v>
      </c>
      <c r="N143" s="39" t="str">
        <f t="shared" si="11"/>
        <v xml:space="preserve"> ()</v>
      </c>
    </row>
    <row r="144" spans="1:14" x14ac:dyDescent="0.3">
      <c r="A144" s="34"/>
      <c r="B144" s="38"/>
      <c r="C144" s="30"/>
      <c r="D144" s="29"/>
      <c r="E144" s="29"/>
      <c r="G144" s="33"/>
      <c r="H144" s="29"/>
      <c r="I144" s="28"/>
      <c r="J144" s="28"/>
      <c r="K144" s="39">
        <f>VLOOKUP(A144,OPTIONS!A:C,3,FALSE)*G144</f>
        <v>0</v>
      </c>
      <c r="L144" s="39" t="str">
        <f t="shared" si="9"/>
        <v/>
      </c>
      <c r="M144" s="39" t="str">
        <f t="shared" si="10"/>
        <v>0</v>
      </c>
      <c r="N144" s="39" t="str">
        <f t="shared" si="11"/>
        <v xml:space="preserve"> ()</v>
      </c>
    </row>
    <row r="145" spans="1:14" x14ac:dyDescent="0.3">
      <c r="A145" s="34"/>
      <c r="B145" s="38"/>
      <c r="C145" s="30"/>
      <c r="D145" s="29"/>
      <c r="E145" s="29"/>
      <c r="G145" s="33"/>
      <c r="H145" s="29"/>
      <c r="I145" s="28"/>
      <c r="J145" s="28"/>
      <c r="K145" s="39">
        <f>VLOOKUP(A145,OPTIONS!A:C,3,FALSE)*G145</f>
        <v>0</v>
      </c>
      <c r="L145" s="39" t="str">
        <f t="shared" si="9"/>
        <v/>
      </c>
      <c r="M145" s="39" t="str">
        <f t="shared" si="10"/>
        <v>0</v>
      </c>
      <c r="N145" s="39" t="str">
        <f t="shared" si="11"/>
        <v xml:space="preserve"> ()</v>
      </c>
    </row>
    <row r="146" spans="1:14" x14ac:dyDescent="0.3">
      <c r="A146" s="34"/>
      <c r="B146" s="38"/>
      <c r="C146" s="30"/>
      <c r="D146" s="29"/>
      <c r="E146" s="29"/>
      <c r="G146" s="33"/>
      <c r="H146" s="29"/>
      <c r="I146" s="28"/>
      <c r="J146" s="28"/>
      <c r="K146" s="39">
        <f>VLOOKUP(A146,OPTIONS!A:C,3,FALSE)*G146</f>
        <v>0</v>
      </c>
      <c r="L146" s="39" t="str">
        <f t="shared" si="9"/>
        <v/>
      </c>
      <c r="M146" s="39" t="str">
        <f t="shared" si="10"/>
        <v>0</v>
      </c>
      <c r="N146" s="39" t="str">
        <f t="shared" si="11"/>
        <v xml:space="preserve"> ()</v>
      </c>
    </row>
    <row r="147" spans="1:14" x14ac:dyDescent="0.3">
      <c r="A147" s="34"/>
      <c r="B147" s="38"/>
      <c r="C147" s="30"/>
      <c r="D147" s="29"/>
      <c r="E147" s="29"/>
      <c r="G147" s="33"/>
      <c r="H147" s="29"/>
      <c r="I147" s="28"/>
      <c r="J147" s="28"/>
      <c r="K147" s="39">
        <f>VLOOKUP(A147,OPTIONS!A:C,3,FALSE)*G147</f>
        <v>0</v>
      </c>
      <c r="L147" s="39" t="str">
        <f t="shared" si="9"/>
        <v/>
      </c>
      <c r="M147" s="39" t="str">
        <f t="shared" si="10"/>
        <v>0</v>
      </c>
      <c r="N147" s="39" t="str">
        <f t="shared" si="11"/>
        <v xml:space="preserve"> ()</v>
      </c>
    </row>
    <row r="148" spans="1:14" x14ac:dyDescent="0.3">
      <c r="A148" s="34"/>
      <c r="B148" s="38"/>
      <c r="C148" s="30"/>
      <c r="D148" s="29"/>
      <c r="E148" s="29"/>
      <c r="G148" s="33"/>
      <c r="H148" s="29"/>
      <c r="I148" s="28"/>
      <c r="J148" s="28"/>
      <c r="K148" s="39">
        <f>VLOOKUP(A148,OPTIONS!A:C,3,FALSE)*G148</f>
        <v>0</v>
      </c>
      <c r="L148" s="39" t="str">
        <f t="shared" si="9"/>
        <v/>
      </c>
      <c r="M148" s="39" t="str">
        <f t="shared" si="10"/>
        <v>0</v>
      </c>
      <c r="N148" s="39" t="str">
        <f t="shared" si="11"/>
        <v xml:space="preserve"> ()</v>
      </c>
    </row>
    <row r="149" spans="1:14" x14ac:dyDescent="0.3">
      <c r="A149" s="34"/>
      <c r="B149" s="38"/>
      <c r="C149" s="30"/>
      <c r="D149" s="29"/>
      <c r="E149" s="29"/>
      <c r="G149" s="33"/>
      <c r="H149" s="29"/>
      <c r="I149" s="28"/>
      <c r="J149" s="28"/>
      <c r="K149" s="39">
        <f>VLOOKUP(A149,OPTIONS!A:C,3,FALSE)*G149</f>
        <v>0</v>
      </c>
      <c r="L149" s="39" t="str">
        <f t="shared" si="9"/>
        <v/>
      </c>
      <c r="M149" s="39" t="str">
        <f t="shared" si="10"/>
        <v>0</v>
      </c>
      <c r="N149" s="39" t="str">
        <f t="shared" si="11"/>
        <v xml:space="preserve"> ()</v>
      </c>
    </row>
    <row r="150" spans="1:14" x14ac:dyDescent="0.3">
      <c r="A150" s="34"/>
      <c r="B150" s="38"/>
      <c r="C150" s="30"/>
      <c r="D150" s="29"/>
      <c r="E150" s="29"/>
      <c r="G150" s="33"/>
      <c r="H150" s="29"/>
      <c r="I150" s="28"/>
      <c r="J150" s="28"/>
      <c r="K150" s="39">
        <f>VLOOKUP(A150,OPTIONS!A:C,3,FALSE)*G150</f>
        <v>0</v>
      </c>
      <c r="L150" s="39" t="str">
        <f t="shared" si="9"/>
        <v/>
      </c>
      <c r="M150" s="39" t="str">
        <f t="shared" si="10"/>
        <v>0</v>
      </c>
      <c r="N150" s="39" t="str">
        <f t="shared" si="11"/>
        <v xml:space="preserve"> ()</v>
      </c>
    </row>
    <row r="151" spans="1:14" x14ac:dyDescent="0.3">
      <c r="A151" s="34"/>
      <c r="B151" s="38"/>
      <c r="C151" s="30"/>
      <c r="D151" s="29"/>
      <c r="E151" s="29"/>
      <c r="G151" s="33"/>
      <c r="H151" s="29"/>
      <c r="I151" s="28"/>
      <c r="J151" s="28"/>
      <c r="K151" s="39">
        <f>VLOOKUP(A151,OPTIONS!A:C,3,FALSE)*G151</f>
        <v>0</v>
      </c>
      <c r="L151" s="39" t="str">
        <f t="shared" si="9"/>
        <v/>
      </c>
      <c r="M151" s="39" t="str">
        <f t="shared" si="10"/>
        <v>0</v>
      </c>
      <c r="N151" s="39" t="str">
        <f t="shared" si="11"/>
        <v xml:space="preserve"> ()</v>
      </c>
    </row>
    <row r="152" spans="1:14" x14ac:dyDescent="0.3">
      <c r="A152" s="34"/>
      <c r="B152" s="38"/>
      <c r="C152" s="30"/>
      <c r="D152" s="29"/>
      <c r="E152" s="29"/>
      <c r="G152" s="33"/>
      <c r="H152" s="29"/>
      <c r="I152" s="28"/>
      <c r="J152" s="28"/>
      <c r="K152" s="39">
        <f>VLOOKUP(A152,OPTIONS!A:C,3,FALSE)*G152</f>
        <v>0</v>
      </c>
      <c r="L152" s="39" t="str">
        <f t="shared" si="9"/>
        <v/>
      </c>
      <c r="M152" s="39" t="str">
        <f t="shared" si="10"/>
        <v>0</v>
      </c>
      <c r="N152" s="39" t="str">
        <f t="shared" si="11"/>
        <v xml:space="preserve"> ()</v>
      </c>
    </row>
    <row r="153" spans="1:14" x14ac:dyDescent="0.3">
      <c r="A153" s="34"/>
      <c r="B153" s="38"/>
      <c r="C153" s="30"/>
      <c r="D153" s="29"/>
      <c r="E153" s="29"/>
      <c r="G153" s="33"/>
      <c r="H153" s="29"/>
      <c r="I153" s="28"/>
      <c r="J153" s="28"/>
      <c r="K153" s="39">
        <f>VLOOKUP(A153,OPTIONS!A:C,3,FALSE)*G153</f>
        <v>0</v>
      </c>
      <c r="L153" s="39" t="str">
        <f t="shared" ref="L153:L216" si="12">TRIM(CONCATENATE(G153," ", $H153, " ", $E153))</f>
        <v/>
      </c>
      <c r="M153" s="39" t="str">
        <f t="shared" ref="M153:M216" si="13">TRIM(CONCATENATE(K153," ", $H153, " ", $E153))</f>
        <v>0</v>
      </c>
      <c r="N153" s="39" t="str">
        <f t="shared" ref="N153:N216" si="14">CONCATENATE(E153, " (", TRIM(H153), ")")</f>
        <v xml:space="preserve"> ()</v>
      </c>
    </row>
    <row r="154" spans="1:14" x14ac:dyDescent="0.3">
      <c r="A154" s="34"/>
      <c r="B154" s="38"/>
      <c r="C154" s="30"/>
      <c r="D154" s="29"/>
      <c r="E154" s="29"/>
      <c r="G154" s="33"/>
      <c r="H154" s="29"/>
      <c r="I154" s="28"/>
      <c r="J154" s="28"/>
      <c r="K154" s="39">
        <f>VLOOKUP(A154,OPTIONS!A:C,3,FALSE)*G154</f>
        <v>0</v>
      </c>
      <c r="L154" s="39" t="str">
        <f t="shared" si="12"/>
        <v/>
      </c>
      <c r="M154" s="39" t="str">
        <f t="shared" si="13"/>
        <v>0</v>
      </c>
      <c r="N154" s="39" t="str">
        <f t="shared" si="14"/>
        <v xml:space="preserve"> ()</v>
      </c>
    </row>
    <row r="155" spans="1:14" x14ac:dyDescent="0.3">
      <c r="A155" s="34"/>
      <c r="B155" s="38"/>
      <c r="C155" s="30"/>
      <c r="D155" s="29"/>
      <c r="E155" s="29"/>
      <c r="G155" s="33"/>
      <c r="H155" s="29"/>
      <c r="I155" s="28"/>
      <c r="J155" s="28"/>
      <c r="K155" s="39">
        <f>VLOOKUP(A155,OPTIONS!A:C,3,FALSE)*G155</f>
        <v>0</v>
      </c>
      <c r="L155" s="39" t="str">
        <f t="shared" si="12"/>
        <v/>
      </c>
      <c r="M155" s="39" t="str">
        <f t="shared" si="13"/>
        <v>0</v>
      </c>
      <c r="N155" s="39" t="str">
        <f t="shared" si="14"/>
        <v xml:space="preserve"> ()</v>
      </c>
    </row>
    <row r="156" spans="1:14" x14ac:dyDescent="0.3">
      <c r="A156" s="34"/>
      <c r="B156" s="38"/>
      <c r="C156" s="30"/>
      <c r="D156" s="29"/>
      <c r="E156" s="29"/>
      <c r="G156" s="33"/>
      <c r="H156" s="29"/>
      <c r="I156" s="28"/>
      <c r="J156" s="28"/>
      <c r="K156" s="39">
        <f>VLOOKUP(A156,OPTIONS!A:C,3,FALSE)*G156</f>
        <v>0</v>
      </c>
      <c r="L156" s="39" t="str">
        <f t="shared" si="12"/>
        <v/>
      </c>
      <c r="M156" s="39" t="str">
        <f t="shared" si="13"/>
        <v>0</v>
      </c>
      <c r="N156" s="39" t="str">
        <f t="shared" si="14"/>
        <v xml:space="preserve"> ()</v>
      </c>
    </row>
    <row r="157" spans="1:14" x14ac:dyDescent="0.3">
      <c r="A157" s="34"/>
      <c r="B157" s="38"/>
      <c r="C157" s="34"/>
      <c r="D157" s="21"/>
      <c r="E157" s="21"/>
      <c r="G157" s="21"/>
      <c r="H157" s="21"/>
      <c r="I157" s="34"/>
      <c r="J157" s="34"/>
      <c r="K157" s="39">
        <f>VLOOKUP(A157,OPTIONS!A:C,3,FALSE)*G157</f>
        <v>0</v>
      </c>
      <c r="L157" s="39" t="str">
        <f t="shared" si="12"/>
        <v/>
      </c>
      <c r="M157" s="39" t="str">
        <f t="shared" si="13"/>
        <v>0</v>
      </c>
      <c r="N157" s="39" t="str">
        <f t="shared" si="14"/>
        <v xml:space="preserve"> ()</v>
      </c>
    </row>
    <row r="158" spans="1:14" x14ac:dyDescent="0.3">
      <c r="A158" s="34"/>
      <c r="B158" s="38"/>
      <c r="C158" s="34"/>
      <c r="D158" s="21"/>
      <c r="E158" s="21"/>
      <c r="G158" s="21"/>
      <c r="H158" s="21"/>
      <c r="I158" s="34"/>
      <c r="J158" s="34"/>
      <c r="K158" s="39">
        <f>VLOOKUP(A158,OPTIONS!A:C,3,FALSE)*G158</f>
        <v>0</v>
      </c>
      <c r="L158" s="39" t="str">
        <f t="shared" si="12"/>
        <v/>
      </c>
      <c r="M158" s="39" t="str">
        <f t="shared" si="13"/>
        <v>0</v>
      </c>
      <c r="N158" s="39" t="str">
        <f t="shared" si="14"/>
        <v xml:space="preserve"> ()</v>
      </c>
    </row>
    <row r="159" spans="1:14" x14ac:dyDescent="0.3">
      <c r="A159" s="34"/>
      <c r="B159" s="38"/>
      <c r="C159" s="34"/>
      <c r="D159" s="21"/>
      <c r="E159" s="21"/>
      <c r="G159" s="21"/>
      <c r="H159" s="21"/>
      <c r="I159" s="34"/>
      <c r="J159" s="34"/>
      <c r="K159" s="39">
        <f>VLOOKUP(A159,OPTIONS!A:C,3,FALSE)*G159</f>
        <v>0</v>
      </c>
      <c r="L159" s="39" t="str">
        <f t="shared" si="12"/>
        <v/>
      </c>
      <c r="M159" s="39" t="str">
        <f t="shared" si="13"/>
        <v>0</v>
      </c>
      <c r="N159" s="39" t="str">
        <f t="shared" si="14"/>
        <v xml:space="preserve"> ()</v>
      </c>
    </row>
    <row r="160" spans="1:14" x14ac:dyDescent="0.3">
      <c r="A160" s="34"/>
      <c r="B160" s="38"/>
      <c r="C160" s="34"/>
      <c r="D160" s="21"/>
      <c r="E160" s="21"/>
      <c r="G160" s="21"/>
      <c r="H160" s="21"/>
      <c r="I160" s="34"/>
      <c r="J160" s="34"/>
      <c r="K160" s="39">
        <f>VLOOKUP(A160,OPTIONS!A:C,3,FALSE)*G160</f>
        <v>0</v>
      </c>
      <c r="L160" s="39" t="str">
        <f t="shared" si="12"/>
        <v/>
      </c>
      <c r="M160" s="39" t="str">
        <f t="shared" si="13"/>
        <v>0</v>
      </c>
      <c r="N160" s="39" t="str">
        <f t="shared" si="14"/>
        <v xml:space="preserve"> ()</v>
      </c>
    </row>
    <row r="161" spans="1:14" x14ac:dyDescent="0.3">
      <c r="A161" s="34"/>
      <c r="B161" s="38"/>
      <c r="C161" s="34"/>
      <c r="D161" s="21"/>
      <c r="E161" s="21"/>
      <c r="G161" s="21"/>
      <c r="H161" s="21"/>
      <c r="I161" s="34"/>
      <c r="J161" s="34"/>
      <c r="K161" s="39">
        <f>VLOOKUP(A161,OPTIONS!A:C,3,FALSE)*G161</f>
        <v>0</v>
      </c>
      <c r="L161" s="39" t="str">
        <f t="shared" si="12"/>
        <v/>
      </c>
      <c r="M161" s="39" t="str">
        <f t="shared" si="13"/>
        <v>0</v>
      </c>
      <c r="N161" s="39" t="str">
        <f t="shared" si="14"/>
        <v xml:space="preserve"> ()</v>
      </c>
    </row>
    <row r="162" spans="1:14" x14ac:dyDescent="0.3">
      <c r="A162" s="34"/>
      <c r="B162" s="38"/>
      <c r="C162" s="34"/>
      <c r="D162" s="21"/>
      <c r="E162" s="21"/>
      <c r="G162" s="21"/>
      <c r="H162" s="21"/>
      <c r="I162" s="34"/>
      <c r="J162" s="34"/>
      <c r="K162" s="39">
        <f>VLOOKUP(A162,OPTIONS!A:C,3,FALSE)*G162</f>
        <v>0</v>
      </c>
      <c r="L162" s="39" t="str">
        <f t="shared" si="12"/>
        <v/>
      </c>
      <c r="M162" s="39" t="str">
        <f t="shared" si="13"/>
        <v>0</v>
      </c>
      <c r="N162" s="39" t="str">
        <f t="shared" si="14"/>
        <v xml:space="preserve"> ()</v>
      </c>
    </row>
    <row r="163" spans="1:14" x14ac:dyDescent="0.3">
      <c r="A163" s="34"/>
      <c r="B163" s="38"/>
      <c r="C163" s="34"/>
      <c r="D163" s="21"/>
      <c r="E163" s="21"/>
      <c r="G163" s="21"/>
      <c r="H163" s="21"/>
      <c r="I163" s="34"/>
      <c r="J163" s="34"/>
      <c r="K163" s="39">
        <f>VLOOKUP(A163,OPTIONS!A:C,3,FALSE)*G163</f>
        <v>0</v>
      </c>
      <c r="L163" s="39" t="str">
        <f t="shared" si="12"/>
        <v/>
      </c>
      <c r="M163" s="39" t="str">
        <f t="shared" si="13"/>
        <v>0</v>
      </c>
      <c r="N163" s="39" t="str">
        <f t="shared" si="14"/>
        <v xml:space="preserve"> ()</v>
      </c>
    </row>
    <row r="164" spans="1:14" x14ac:dyDescent="0.3">
      <c r="A164" s="34"/>
      <c r="B164" s="38"/>
      <c r="C164" s="34"/>
      <c r="D164" s="21"/>
      <c r="E164" s="21"/>
      <c r="G164" s="21"/>
      <c r="H164" s="21"/>
      <c r="I164" s="34"/>
      <c r="J164" s="34"/>
      <c r="K164" s="39">
        <f>VLOOKUP(A164,OPTIONS!A:C,3,FALSE)*G164</f>
        <v>0</v>
      </c>
      <c r="L164" s="39" t="str">
        <f t="shared" si="12"/>
        <v/>
      </c>
      <c r="M164" s="39" t="str">
        <f t="shared" si="13"/>
        <v>0</v>
      </c>
      <c r="N164" s="39" t="str">
        <f t="shared" si="14"/>
        <v xml:space="preserve"> ()</v>
      </c>
    </row>
    <row r="165" spans="1:14" x14ac:dyDescent="0.3">
      <c r="A165" s="34"/>
      <c r="B165" s="38"/>
      <c r="C165" s="34"/>
      <c r="D165" s="21"/>
      <c r="E165" s="21"/>
      <c r="G165" s="21"/>
      <c r="H165" s="21"/>
      <c r="I165" s="34"/>
      <c r="J165" s="34"/>
      <c r="K165" s="39">
        <f>VLOOKUP(A165,OPTIONS!A:C,3,FALSE)*G165</f>
        <v>0</v>
      </c>
      <c r="L165" s="39" t="str">
        <f t="shared" si="12"/>
        <v/>
      </c>
      <c r="M165" s="39" t="str">
        <f t="shared" si="13"/>
        <v>0</v>
      </c>
      <c r="N165" s="39" t="str">
        <f t="shared" si="14"/>
        <v xml:space="preserve"> ()</v>
      </c>
    </row>
    <row r="166" spans="1:14" x14ac:dyDescent="0.3">
      <c r="A166" s="34"/>
      <c r="B166" s="38"/>
      <c r="C166" s="34"/>
      <c r="D166" s="21"/>
      <c r="E166" s="21"/>
      <c r="G166" s="21"/>
      <c r="H166" s="21"/>
      <c r="I166" s="34"/>
      <c r="J166" s="34"/>
      <c r="K166" s="39">
        <f>VLOOKUP(A166,OPTIONS!A:C,3,FALSE)*G166</f>
        <v>0</v>
      </c>
      <c r="L166" s="39" t="str">
        <f t="shared" si="12"/>
        <v/>
      </c>
      <c r="M166" s="39" t="str">
        <f t="shared" si="13"/>
        <v>0</v>
      </c>
      <c r="N166" s="39" t="str">
        <f t="shared" si="14"/>
        <v xml:space="preserve"> ()</v>
      </c>
    </row>
    <row r="167" spans="1:14" x14ac:dyDescent="0.3">
      <c r="A167" s="34"/>
      <c r="B167" s="38"/>
      <c r="C167" s="34"/>
      <c r="D167" s="21"/>
      <c r="E167" s="21"/>
      <c r="G167" s="21"/>
      <c r="H167" s="21"/>
      <c r="I167" s="34"/>
      <c r="J167" s="34"/>
      <c r="K167" s="39">
        <f>VLOOKUP(A167,OPTIONS!A:C,3,FALSE)*G167</f>
        <v>0</v>
      </c>
      <c r="L167" s="39" t="str">
        <f t="shared" si="12"/>
        <v/>
      </c>
      <c r="M167" s="39" t="str">
        <f t="shared" si="13"/>
        <v>0</v>
      </c>
      <c r="N167" s="39" t="str">
        <f t="shared" si="14"/>
        <v xml:space="preserve"> ()</v>
      </c>
    </row>
    <row r="168" spans="1:14" x14ac:dyDescent="0.3">
      <c r="A168" s="34"/>
      <c r="B168" s="38"/>
      <c r="C168" s="34"/>
      <c r="D168" s="21"/>
      <c r="E168" s="21"/>
      <c r="G168" s="21"/>
      <c r="H168" s="21"/>
      <c r="I168" s="34"/>
      <c r="J168" s="34"/>
      <c r="K168" s="39">
        <f>VLOOKUP(A168,OPTIONS!A:C,3,FALSE)*G168</f>
        <v>0</v>
      </c>
      <c r="L168" s="39" t="str">
        <f t="shared" si="12"/>
        <v/>
      </c>
      <c r="M168" s="39" t="str">
        <f t="shared" si="13"/>
        <v>0</v>
      </c>
      <c r="N168" s="39" t="str">
        <f t="shared" si="14"/>
        <v xml:space="preserve"> ()</v>
      </c>
    </row>
    <row r="169" spans="1:14" x14ac:dyDescent="0.3">
      <c r="A169" s="34"/>
      <c r="B169" s="38"/>
      <c r="C169" s="34"/>
      <c r="D169" s="21"/>
      <c r="E169" s="21"/>
      <c r="G169" s="21"/>
      <c r="H169" s="21"/>
      <c r="I169" s="34"/>
      <c r="J169" s="34"/>
      <c r="K169" s="39">
        <f>VLOOKUP(A169,OPTIONS!A:C,3,FALSE)*G169</f>
        <v>0</v>
      </c>
      <c r="L169" s="39" t="str">
        <f t="shared" si="12"/>
        <v/>
      </c>
      <c r="M169" s="39" t="str">
        <f t="shared" si="13"/>
        <v>0</v>
      </c>
      <c r="N169" s="39" t="str">
        <f t="shared" si="14"/>
        <v xml:space="preserve"> ()</v>
      </c>
    </row>
    <row r="170" spans="1:14" x14ac:dyDescent="0.3">
      <c r="A170" s="34"/>
      <c r="B170" s="38"/>
      <c r="C170" s="34"/>
      <c r="D170" s="21"/>
      <c r="E170" s="21"/>
      <c r="G170" s="21"/>
      <c r="H170" s="21"/>
      <c r="I170" s="34"/>
      <c r="J170" s="34"/>
      <c r="K170" s="39">
        <f>VLOOKUP(A170,OPTIONS!A:C,3,FALSE)*G170</f>
        <v>0</v>
      </c>
      <c r="L170" s="39" t="str">
        <f t="shared" si="12"/>
        <v/>
      </c>
      <c r="M170" s="39" t="str">
        <f t="shared" si="13"/>
        <v>0</v>
      </c>
      <c r="N170" s="39" t="str">
        <f t="shared" si="14"/>
        <v xml:space="preserve"> ()</v>
      </c>
    </row>
    <row r="171" spans="1:14" x14ac:dyDescent="0.3">
      <c r="A171" s="34"/>
      <c r="B171" s="38"/>
      <c r="C171" s="34"/>
      <c r="D171" s="21"/>
      <c r="E171" s="21"/>
      <c r="G171" s="21"/>
      <c r="H171" s="21"/>
      <c r="I171" s="34"/>
      <c r="J171" s="34"/>
      <c r="K171" s="39">
        <f>VLOOKUP(A171,OPTIONS!A:C,3,FALSE)*G171</f>
        <v>0</v>
      </c>
      <c r="L171" s="39" t="str">
        <f t="shared" si="12"/>
        <v/>
      </c>
      <c r="M171" s="39" t="str">
        <f t="shared" si="13"/>
        <v>0</v>
      </c>
      <c r="N171" s="39" t="str">
        <f t="shared" si="14"/>
        <v xml:space="preserve"> ()</v>
      </c>
    </row>
    <row r="172" spans="1:14" x14ac:dyDescent="0.3">
      <c r="A172" s="34"/>
      <c r="B172" s="38"/>
      <c r="C172" s="34"/>
      <c r="D172" s="21"/>
      <c r="E172" s="21"/>
      <c r="G172" s="21"/>
      <c r="H172" s="21"/>
      <c r="I172" s="34"/>
      <c r="J172" s="34"/>
      <c r="K172" s="39">
        <f>VLOOKUP(A172,OPTIONS!A:C,3,FALSE)*G172</f>
        <v>0</v>
      </c>
      <c r="L172" s="39" t="str">
        <f t="shared" si="12"/>
        <v/>
      </c>
      <c r="M172" s="39" t="str">
        <f t="shared" si="13"/>
        <v>0</v>
      </c>
      <c r="N172" s="39" t="str">
        <f t="shared" si="14"/>
        <v xml:space="preserve"> ()</v>
      </c>
    </row>
    <row r="173" spans="1:14" x14ac:dyDescent="0.3">
      <c r="A173" s="34"/>
      <c r="B173" s="38"/>
      <c r="C173" s="34"/>
      <c r="D173" s="21"/>
      <c r="E173" s="21"/>
      <c r="G173" s="21"/>
      <c r="H173" s="21"/>
      <c r="I173" s="34"/>
      <c r="J173" s="34"/>
      <c r="K173" s="39">
        <f>VLOOKUP(A173,OPTIONS!A:C,3,FALSE)*G173</f>
        <v>0</v>
      </c>
      <c r="L173" s="39" t="str">
        <f t="shared" si="12"/>
        <v/>
      </c>
      <c r="M173" s="39" t="str">
        <f t="shared" si="13"/>
        <v>0</v>
      </c>
      <c r="N173" s="39" t="str">
        <f t="shared" si="14"/>
        <v xml:space="preserve"> ()</v>
      </c>
    </row>
    <row r="174" spans="1:14" x14ac:dyDescent="0.3">
      <c r="A174" s="34"/>
      <c r="B174" s="38"/>
      <c r="C174" s="34"/>
      <c r="D174" s="21"/>
      <c r="E174" s="21"/>
      <c r="G174" s="21"/>
      <c r="H174" s="21"/>
      <c r="I174" s="34"/>
      <c r="J174" s="34"/>
      <c r="K174" s="39">
        <f>VLOOKUP(A174,OPTIONS!A:C,3,FALSE)*G174</f>
        <v>0</v>
      </c>
      <c r="L174" s="39" t="str">
        <f t="shared" si="12"/>
        <v/>
      </c>
      <c r="M174" s="39" t="str">
        <f t="shared" si="13"/>
        <v>0</v>
      </c>
      <c r="N174" s="39" t="str">
        <f t="shared" si="14"/>
        <v xml:space="preserve"> ()</v>
      </c>
    </row>
    <row r="175" spans="1:14" x14ac:dyDescent="0.3">
      <c r="A175" s="34"/>
      <c r="B175" s="38"/>
      <c r="C175" s="34"/>
      <c r="D175" s="21"/>
      <c r="E175" s="21"/>
      <c r="G175" s="21"/>
      <c r="H175" s="21"/>
      <c r="I175" s="34"/>
      <c r="J175" s="34"/>
      <c r="K175" s="39">
        <f>VLOOKUP(A175,OPTIONS!A:C,3,FALSE)*G175</f>
        <v>0</v>
      </c>
      <c r="L175" s="39" t="str">
        <f t="shared" si="12"/>
        <v/>
      </c>
      <c r="M175" s="39" t="str">
        <f t="shared" si="13"/>
        <v>0</v>
      </c>
      <c r="N175" s="39" t="str">
        <f t="shared" si="14"/>
        <v xml:space="preserve"> ()</v>
      </c>
    </row>
    <row r="176" spans="1:14" x14ac:dyDescent="0.3">
      <c r="A176" s="34"/>
      <c r="B176" s="38"/>
      <c r="C176" s="34"/>
      <c r="D176" s="21"/>
      <c r="E176" s="21"/>
      <c r="G176" s="21"/>
      <c r="H176" s="21"/>
      <c r="I176" s="34"/>
      <c r="J176" s="34"/>
      <c r="K176" s="39">
        <f>VLOOKUP(A176,OPTIONS!A:C,3,FALSE)*G176</f>
        <v>0</v>
      </c>
      <c r="L176" s="39" t="str">
        <f t="shared" si="12"/>
        <v/>
      </c>
      <c r="M176" s="39" t="str">
        <f t="shared" si="13"/>
        <v>0</v>
      </c>
      <c r="N176" s="39" t="str">
        <f t="shared" si="14"/>
        <v xml:space="preserve"> ()</v>
      </c>
    </row>
    <row r="177" spans="1:14" x14ac:dyDescent="0.3">
      <c r="A177" s="34"/>
      <c r="B177" s="38"/>
      <c r="C177" s="34"/>
      <c r="D177" s="21"/>
      <c r="E177" s="21"/>
      <c r="G177" s="21"/>
      <c r="H177" s="21"/>
      <c r="I177" s="34"/>
      <c r="J177" s="34"/>
      <c r="K177" s="39">
        <f>VLOOKUP(A177,OPTIONS!A:C,3,FALSE)*G177</f>
        <v>0</v>
      </c>
      <c r="L177" s="39" t="str">
        <f t="shared" si="12"/>
        <v/>
      </c>
      <c r="M177" s="39" t="str">
        <f t="shared" si="13"/>
        <v>0</v>
      </c>
      <c r="N177" s="39" t="str">
        <f t="shared" si="14"/>
        <v xml:space="preserve"> ()</v>
      </c>
    </row>
    <row r="178" spans="1:14" x14ac:dyDescent="0.3">
      <c r="A178" s="34"/>
      <c r="B178" s="38"/>
      <c r="C178" s="34"/>
      <c r="D178" s="21"/>
      <c r="E178" s="21"/>
      <c r="G178" s="21"/>
      <c r="H178" s="21"/>
      <c r="I178" s="34"/>
      <c r="J178" s="34"/>
      <c r="K178" s="39">
        <f>VLOOKUP(A178,OPTIONS!A:C,3,FALSE)*G178</f>
        <v>0</v>
      </c>
      <c r="L178" s="39" t="str">
        <f t="shared" si="12"/>
        <v/>
      </c>
      <c r="M178" s="39" t="str">
        <f t="shared" si="13"/>
        <v>0</v>
      </c>
      <c r="N178" s="39" t="str">
        <f t="shared" si="14"/>
        <v xml:space="preserve"> ()</v>
      </c>
    </row>
    <row r="179" spans="1:14" x14ac:dyDescent="0.3">
      <c r="A179" s="34"/>
      <c r="B179" s="38"/>
      <c r="C179" s="34"/>
      <c r="D179" s="21"/>
      <c r="E179" s="21"/>
      <c r="G179" s="21"/>
      <c r="H179" s="21"/>
      <c r="I179" s="34"/>
      <c r="J179" s="34"/>
      <c r="K179" s="39">
        <f>VLOOKUP(A179,OPTIONS!A:C,3,FALSE)*G179</f>
        <v>0</v>
      </c>
      <c r="L179" s="39" t="str">
        <f t="shared" si="12"/>
        <v/>
      </c>
      <c r="M179" s="39" t="str">
        <f t="shared" si="13"/>
        <v>0</v>
      </c>
      <c r="N179" s="39" t="str">
        <f t="shared" si="14"/>
        <v xml:space="preserve"> ()</v>
      </c>
    </row>
    <row r="180" spans="1:14" x14ac:dyDescent="0.3">
      <c r="A180" s="34"/>
      <c r="B180" s="38"/>
      <c r="C180" s="34"/>
      <c r="D180" s="21"/>
      <c r="E180" s="21"/>
      <c r="G180" s="21"/>
      <c r="H180" s="21"/>
      <c r="I180" s="34"/>
      <c r="J180" s="34"/>
      <c r="K180" s="39">
        <f>VLOOKUP(A180,OPTIONS!A:C,3,FALSE)*G180</f>
        <v>0</v>
      </c>
      <c r="L180" s="39" t="str">
        <f t="shared" si="12"/>
        <v/>
      </c>
      <c r="M180" s="39" t="str">
        <f t="shared" si="13"/>
        <v>0</v>
      </c>
      <c r="N180" s="39" t="str">
        <f t="shared" si="14"/>
        <v xml:space="preserve"> ()</v>
      </c>
    </row>
    <row r="181" spans="1:14" x14ac:dyDescent="0.3">
      <c r="A181" s="34"/>
      <c r="B181" s="38"/>
      <c r="C181" s="34"/>
      <c r="D181" s="21"/>
      <c r="E181" s="21"/>
      <c r="G181" s="21"/>
      <c r="H181" s="21"/>
      <c r="I181" s="34"/>
      <c r="J181" s="34"/>
      <c r="K181" s="39">
        <f>VLOOKUP(A181,OPTIONS!A:C,3,FALSE)*G181</f>
        <v>0</v>
      </c>
      <c r="L181" s="39" t="str">
        <f t="shared" si="12"/>
        <v/>
      </c>
      <c r="M181" s="39" t="str">
        <f t="shared" si="13"/>
        <v>0</v>
      </c>
      <c r="N181" s="39" t="str">
        <f t="shared" si="14"/>
        <v xml:space="preserve"> ()</v>
      </c>
    </row>
    <row r="182" spans="1:14" x14ac:dyDescent="0.3">
      <c r="A182" s="34"/>
      <c r="B182" s="38"/>
      <c r="C182" s="34"/>
      <c r="D182" s="21"/>
      <c r="E182" s="21"/>
      <c r="G182" s="21"/>
      <c r="H182" s="21"/>
      <c r="I182" s="34"/>
      <c r="J182" s="34"/>
      <c r="K182" s="39">
        <f>VLOOKUP(A182,OPTIONS!A:C,3,FALSE)*G182</f>
        <v>0</v>
      </c>
      <c r="L182" s="39" t="str">
        <f t="shared" si="12"/>
        <v/>
      </c>
      <c r="M182" s="39" t="str">
        <f t="shared" si="13"/>
        <v>0</v>
      </c>
      <c r="N182" s="39" t="str">
        <f t="shared" si="14"/>
        <v xml:space="preserve"> ()</v>
      </c>
    </row>
    <row r="183" spans="1:14" x14ac:dyDescent="0.3">
      <c r="A183" s="34"/>
      <c r="B183" s="38"/>
      <c r="C183" s="34"/>
      <c r="D183" s="21"/>
      <c r="E183" s="21"/>
      <c r="G183" s="21"/>
      <c r="H183" s="21"/>
      <c r="I183" s="34"/>
      <c r="J183" s="34"/>
      <c r="K183" s="39">
        <f>VLOOKUP(A183,OPTIONS!A:C,3,FALSE)*G183</f>
        <v>0</v>
      </c>
      <c r="L183" s="39" t="str">
        <f t="shared" si="12"/>
        <v/>
      </c>
      <c r="M183" s="39" t="str">
        <f t="shared" si="13"/>
        <v>0</v>
      </c>
      <c r="N183" s="39" t="str">
        <f t="shared" si="14"/>
        <v xml:space="preserve"> ()</v>
      </c>
    </row>
    <row r="184" spans="1:14" x14ac:dyDescent="0.3">
      <c r="A184" s="34"/>
      <c r="B184" s="38"/>
      <c r="C184" s="34"/>
      <c r="D184" s="21"/>
      <c r="E184" s="21"/>
      <c r="G184" s="21"/>
      <c r="H184" s="21"/>
      <c r="I184" s="34"/>
      <c r="J184" s="34"/>
      <c r="K184" s="39">
        <f>VLOOKUP(A184,OPTIONS!A:C,3,FALSE)*G184</f>
        <v>0</v>
      </c>
      <c r="L184" s="39" t="str">
        <f t="shared" si="12"/>
        <v/>
      </c>
      <c r="M184" s="39" t="str">
        <f t="shared" si="13"/>
        <v>0</v>
      </c>
      <c r="N184" s="39" t="str">
        <f t="shared" si="14"/>
        <v xml:space="preserve"> ()</v>
      </c>
    </row>
    <row r="185" spans="1:14" x14ac:dyDescent="0.3">
      <c r="A185" s="34"/>
      <c r="B185" s="38"/>
      <c r="C185" s="34"/>
      <c r="D185" s="21"/>
      <c r="E185" s="21"/>
      <c r="G185" s="21"/>
      <c r="H185" s="21"/>
      <c r="I185" s="34"/>
      <c r="J185" s="34"/>
      <c r="K185" s="39">
        <f>VLOOKUP(A185,OPTIONS!A:C,3,FALSE)*G185</f>
        <v>0</v>
      </c>
      <c r="L185" s="39" t="str">
        <f t="shared" si="12"/>
        <v/>
      </c>
      <c r="M185" s="39" t="str">
        <f t="shared" si="13"/>
        <v>0</v>
      </c>
      <c r="N185" s="39" t="str">
        <f t="shared" si="14"/>
        <v xml:space="preserve"> ()</v>
      </c>
    </row>
    <row r="186" spans="1:14" x14ac:dyDescent="0.3">
      <c r="A186" s="34"/>
      <c r="B186" s="38"/>
      <c r="C186" s="34"/>
      <c r="D186" s="21"/>
      <c r="E186" s="21"/>
      <c r="G186" s="21"/>
      <c r="H186" s="21"/>
      <c r="I186" s="34"/>
      <c r="J186" s="34"/>
      <c r="K186" s="39">
        <f>VLOOKUP(A186,OPTIONS!A:C,3,FALSE)*G186</f>
        <v>0</v>
      </c>
      <c r="L186" s="39" t="str">
        <f t="shared" si="12"/>
        <v/>
      </c>
      <c r="M186" s="39" t="str">
        <f t="shared" si="13"/>
        <v>0</v>
      </c>
      <c r="N186" s="39" t="str">
        <f t="shared" si="14"/>
        <v xml:space="preserve"> ()</v>
      </c>
    </row>
    <row r="187" spans="1:14" x14ac:dyDescent="0.3">
      <c r="A187" s="34"/>
      <c r="B187" s="38"/>
      <c r="C187" s="34"/>
      <c r="D187" s="21"/>
      <c r="E187" s="21"/>
      <c r="G187" s="21"/>
      <c r="H187" s="21"/>
      <c r="I187" s="34"/>
      <c r="J187" s="34"/>
      <c r="K187" s="39">
        <f>VLOOKUP(A187,OPTIONS!A:C,3,FALSE)*G187</f>
        <v>0</v>
      </c>
      <c r="L187" s="39" t="str">
        <f t="shared" si="12"/>
        <v/>
      </c>
      <c r="M187" s="39" t="str">
        <f t="shared" si="13"/>
        <v>0</v>
      </c>
      <c r="N187" s="39" t="str">
        <f t="shared" si="14"/>
        <v xml:space="preserve"> ()</v>
      </c>
    </row>
    <row r="188" spans="1:14" x14ac:dyDescent="0.3">
      <c r="A188" s="34"/>
      <c r="B188" s="38"/>
      <c r="C188" s="34"/>
      <c r="D188" s="21"/>
      <c r="E188" s="21"/>
      <c r="G188" s="21"/>
      <c r="H188" s="21"/>
      <c r="I188" s="34"/>
      <c r="J188" s="34"/>
      <c r="K188" s="39">
        <f>VLOOKUP(A188,OPTIONS!A:C,3,FALSE)*G188</f>
        <v>0</v>
      </c>
      <c r="L188" s="39" t="str">
        <f t="shared" si="12"/>
        <v/>
      </c>
      <c r="M188" s="39" t="str">
        <f t="shared" si="13"/>
        <v>0</v>
      </c>
      <c r="N188" s="39" t="str">
        <f t="shared" si="14"/>
        <v xml:space="preserve"> ()</v>
      </c>
    </row>
    <row r="189" spans="1:14" x14ac:dyDescent="0.3">
      <c r="A189" s="34"/>
      <c r="B189" s="38"/>
      <c r="C189" s="34"/>
      <c r="D189" s="21"/>
      <c r="E189" s="21"/>
      <c r="G189" s="21"/>
      <c r="H189" s="21"/>
      <c r="I189" s="34"/>
      <c r="J189" s="34"/>
      <c r="K189" s="39">
        <f>VLOOKUP(A189,OPTIONS!A:C,3,FALSE)*G189</f>
        <v>0</v>
      </c>
      <c r="L189" s="39" t="str">
        <f t="shared" si="12"/>
        <v/>
      </c>
      <c r="M189" s="39" t="str">
        <f t="shared" si="13"/>
        <v>0</v>
      </c>
      <c r="N189" s="39" t="str">
        <f t="shared" si="14"/>
        <v xml:space="preserve"> ()</v>
      </c>
    </row>
    <row r="190" spans="1:14" x14ac:dyDescent="0.3">
      <c r="A190" s="34"/>
      <c r="B190" s="38"/>
      <c r="C190" s="34"/>
      <c r="D190" s="21"/>
      <c r="E190" s="21"/>
      <c r="G190" s="21"/>
      <c r="H190" s="21"/>
      <c r="I190" s="34"/>
      <c r="J190" s="34"/>
      <c r="K190" s="39">
        <f>VLOOKUP(A190,OPTIONS!A:C,3,FALSE)*G190</f>
        <v>0</v>
      </c>
      <c r="L190" s="39" t="str">
        <f t="shared" si="12"/>
        <v/>
      </c>
      <c r="M190" s="39" t="str">
        <f t="shared" si="13"/>
        <v>0</v>
      </c>
      <c r="N190" s="39" t="str">
        <f t="shared" si="14"/>
        <v xml:space="preserve"> ()</v>
      </c>
    </row>
    <row r="191" spans="1:14" x14ac:dyDescent="0.3">
      <c r="A191" s="34"/>
      <c r="B191" s="38"/>
      <c r="C191" s="34"/>
      <c r="D191" s="21"/>
      <c r="E191" s="21"/>
      <c r="G191" s="21"/>
      <c r="H191" s="21"/>
      <c r="I191" s="34"/>
      <c r="J191" s="34"/>
      <c r="K191" s="39">
        <f>VLOOKUP(A191,OPTIONS!A:C,3,FALSE)*G191</f>
        <v>0</v>
      </c>
      <c r="L191" s="39" t="str">
        <f t="shared" si="12"/>
        <v/>
      </c>
      <c r="M191" s="39" t="str">
        <f t="shared" si="13"/>
        <v>0</v>
      </c>
      <c r="N191" s="39" t="str">
        <f t="shared" si="14"/>
        <v xml:space="preserve"> ()</v>
      </c>
    </row>
    <row r="192" spans="1:14" x14ac:dyDescent="0.3">
      <c r="A192" s="34"/>
      <c r="B192" s="38"/>
      <c r="C192" s="34"/>
      <c r="D192" s="21"/>
      <c r="E192" s="21"/>
      <c r="G192" s="21"/>
      <c r="H192" s="21"/>
      <c r="I192" s="34"/>
      <c r="J192" s="34"/>
      <c r="K192" s="39">
        <f>VLOOKUP(A192,OPTIONS!A:C,3,FALSE)*G192</f>
        <v>0</v>
      </c>
      <c r="L192" s="39" t="str">
        <f t="shared" si="12"/>
        <v/>
      </c>
      <c r="M192" s="39" t="str">
        <f t="shared" si="13"/>
        <v>0</v>
      </c>
      <c r="N192" s="39" t="str">
        <f t="shared" si="14"/>
        <v xml:space="preserve"> ()</v>
      </c>
    </row>
    <row r="193" spans="1:14" x14ac:dyDescent="0.3">
      <c r="A193" s="34"/>
      <c r="B193" s="38"/>
      <c r="C193" s="34"/>
      <c r="D193" s="21"/>
      <c r="E193" s="21"/>
      <c r="G193" s="21"/>
      <c r="H193" s="21"/>
      <c r="I193" s="34"/>
      <c r="J193" s="34"/>
      <c r="K193" s="39">
        <f>VLOOKUP(A193,OPTIONS!A:C,3,FALSE)*G193</f>
        <v>0</v>
      </c>
      <c r="L193" s="39" t="str">
        <f t="shared" si="12"/>
        <v/>
      </c>
      <c r="M193" s="39" t="str">
        <f t="shared" si="13"/>
        <v>0</v>
      </c>
      <c r="N193" s="39" t="str">
        <f t="shared" si="14"/>
        <v xml:space="preserve"> ()</v>
      </c>
    </row>
    <row r="194" spans="1:14" x14ac:dyDescent="0.3">
      <c r="A194" s="34"/>
      <c r="B194" s="38"/>
      <c r="C194" s="34"/>
      <c r="D194" s="21"/>
      <c r="E194" s="21"/>
      <c r="G194" s="21"/>
      <c r="H194" s="21"/>
      <c r="I194" s="34"/>
      <c r="J194" s="34"/>
      <c r="K194" s="39">
        <f>VLOOKUP(A194,OPTIONS!A:C,3,FALSE)*G194</f>
        <v>0</v>
      </c>
      <c r="L194" s="39" t="str">
        <f t="shared" si="12"/>
        <v/>
      </c>
      <c r="M194" s="39" t="str">
        <f t="shared" si="13"/>
        <v>0</v>
      </c>
      <c r="N194" s="39" t="str">
        <f t="shared" si="14"/>
        <v xml:space="preserve"> ()</v>
      </c>
    </row>
    <row r="195" spans="1:14" x14ac:dyDescent="0.3">
      <c r="A195" s="34"/>
      <c r="B195" s="38"/>
      <c r="C195" s="34"/>
      <c r="D195" s="21"/>
      <c r="E195" s="21"/>
      <c r="G195" s="21"/>
      <c r="H195" s="21"/>
      <c r="I195" s="34"/>
      <c r="J195" s="34"/>
      <c r="K195" s="39">
        <f>VLOOKUP(A195,OPTIONS!A:C,3,FALSE)*G195</f>
        <v>0</v>
      </c>
      <c r="L195" s="39" t="str">
        <f t="shared" si="12"/>
        <v/>
      </c>
      <c r="M195" s="39" t="str">
        <f t="shared" si="13"/>
        <v>0</v>
      </c>
      <c r="N195" s="39" t="str">
        <f t="shared" si="14"/>
        <v xml:space="preserve"> ()</v>
      </c>
    </row>
    <row r="196" spans="1:14" x14ac:dyDescent="0.3">
      <c r="A196" s="34"/>
      <c r="B196" s="38"/>
      <c r="C196" s="34"/>
      <c r="D196" s="21"/>
      <c r="E196" s="21"/>
      <c r="G196" s="21"/>
      <c r="H196" s="21"/>
      <c r="I196" s="34"/>
      <c r="J196" s="34"/>
      <c r="K196" s="39">
        <f>VLOOKUP(A196,OPTIONS!A:C,3,FALSE)*G196</f>
        <v>0</v>
      </c>
      <c r="L196" s="39" t="str">
        <f t="shared" si="12"/>
        <v/>
      </c>
      <c r="M196" s="39" t="str">
        <f t="shared" si="13"/>
        <v>0</v>
      </c>
      <c r="N196" s="39" t="str">
        <f t="shared" si="14"/>
        <v xml:space="preserve"> ()</v>
      </c>
    </row>
    <row r="197" spans="1:14" x14ac:dyDescent="0.3">
      <c r="A197" s="34"/>
      <c r="B197" s="38"/>
      <c r="C197" s="34"/>
      <c r="D197" s="21"/>
      <c r="E197" s="21"/>
      <c r="G197" s="21"/>
      <c r="H197" s="21"/>
      <c r="I197" s="34"/>
      <c r="J197" s="34"/>
      <c r="K197" s="39">
        <f>VLOOKUP(A197,OPTIONS!A:C,3,FALSE)*G197</f>
        <v>0</v>
      </c>
      <c r="L197" s="39" t="str">
        <f t="shared" si="12"/>
        <v/>
      </c>
      <c r="M197" s="39" t="str">
        <f t="shared" si="13"/>
        <v>0</v>
      </c>
      <c r="N197" s="39" t="str">
        <f t="shared" si="14"/>
        <v xml:space="preserve"> ()</v>
      </c>
    </row>
    <row r="198" spans="1:14" x14ac:dyDescent="0.3">
      <c r="A198" s="34"/>
      <c r="B198" s="38"/>
      <c r="C198" s="34"/>
      <c r="D198" s="21"/>
      <c r="E198" s="21"/>
      <c r="G198" s="21"/>
      <c r="H198" s="21"/>
      <c r="I198" s="34"/>
      <c r="J198" s="34"/>
      <c r="K198" s="39">
        <f>VLOOKUP(A198,OPTIONS!A:C,3,FALSE)*G198</f>
        <v>0</v>
      </c>
      <c r="L198" s="39" t="str">
        <f t="shared" si="12"/>
        <v/>
      </c>
      <c r="M198" s="39" t="str">
        <f t="shared" si="13"/>
        <v>0</v>
      </c>
      <c r="N198" s="39" t="str">
        <f t="shared" si="14"/>
        <v xml:space="preserve"> ()</v>
      </c>
    </row>
    <row r="199" spans="1:14" x14ac:dyDescent="0.3">
      <c r="A199" s="34"/>
      <c r="B199" s="38"/>
      <c r="C199" s="34"/>
      <c r="D199" s="21"/>
      <c r="E199" s="21"/>
      <c r="G199" s="21"/>
      <c r="H199" s="21"/>
      <c r="I199" s="34"/>
      <c r="J199" s="34"/>
      <c r="K199" s="39">
        <f>VLOOKUP(A199,OPTIONS!A:C,3,FALSE)*G199</f>
        <v>0</v>
      </c>
      <c r="L199" s="39" t="str">
        <f t="shared" si="12"/>
        <v/>
      </c>
      <c r="M199" s="39" t="str">
        <f t="shared" si="13"/>
        <v>0</v>
      </c>
      <c r="N199" s="39" t="str">
        <f t="shared" si="14"/>
        <v xml:space="preserve"> ()</v>
      </c>
    </row>
    <row r="200" spans="1:14" x14ac:dyDescent="0.3">
      <c r="A200" s="34"/>
      <c r="B200" s="38"/>
      <c r="C200" s="34"/>
      <c r="D200" s="21"/>
      <c r="E200" s="21"/>
      <c r="G200" s="21"/>
      <c r="H200" s="21"/>
      <c r="I200" s="34"/>
      <c r="J200" s="34"/>
      <c r="K200" s="39">
        <f>VLOOKUP(A200,OPTIONS!A:C,3,FALSE)*G200</f>
        <v>0</v>
      </c>
      <c r="L200" s="39" t="str">
        <f t="shared" si="12"/>
        <v/>
      </c>
      <c r="M200" s="39" t="str">
        <f t="shared" si="13"/>
        <v>0</v>
      </c>
      <c r="N200" s="39" t="str">
        <f t="shared" si="14"/>
        <v xml:space="preserve"> ()</v>
      </c>
    </row>
    <row r="201" spans="1:14" x14ac:dyDescent="0.3">
      <c r="A201" s="34"/>
      <c r="B201" s="38"/>
      <c r="C201" s="34"/>
      <c r="D201" s="21"/>
      <c r="E201" s="21"/>
      <c r="G201" s="21"/>
      <c r="H201" s="21"/>
      <c r="I201" s="34"/>
      <c r="J201" s="34"/>
      <c r="K201" s="39">
        <f>VLOOKUP(A201,OPTIONS!A:C,3,FALSE)*G201</f>
        <v>0</v>
      </c>
      <c r="L201" s="39" t="str">
        <f t="shared" si="12"/>
        <v/>
      </c>
      <c r="M201" s="39" t="str">
        <f t="shared" si="13"/>
        <v>0</v>
      </c>
      <c r="N201" s="39" t="str">
        <f t="shared" si="14"/>
        <v xml:space="preserve"> ()</v>
      </c>
    </row>
    <row r="202" spans="1:14" x14ac:dyDescent="0.3">
      <c r="A202" s="34"/>
      <c r="B202" s="38"/>
      <c r="C202" s="34"/>
      <c r="D202" s="21"/>
      <c r="E202" s="21"/>
      <c r="G202" s="21"/>
      <c r="H202" s="21"/>
      <c r="I202" s="34"/>
      <c r="J202" s="34"/>
      <c r="K202" s="39">
        <f>VLOOKUP(A202,OPTIONS!A:C,3,FALSE)*G202</f>
        <v>0</v>
      </c>
      <c r="L202" s="39" t="str">
        <f t="shared" si="12"/>
        <v/>
      </c>
      <c r="M202" s="39" t="str">
        <f t="shared" si="13"/>
        <v>0</v>
      </c>
      <c r="N202" s="39" t="str">
        <f t="shared" si="14"/>
        <v xml:space="preserve"> ()</v>
      </c>
    </row>
    <row r="203" spans="1:14" x14ac:dyDescent="0.3">
      <c r="A203" s="34"/>
      <c r="B203" s="38"/>
      <c r="C203" s="34"/>
      <c r="D203" s="21"/>
      <c r="E203" s="21"/>
      <c r="G203" s="21"/>
      <c r="H203" s="21"/>
      <c r="I203" s="34"/>
      <c r="J203" s="34"/>
      <c r="K203" s="39">
        <f>VLOOKUP(A203,OPTIONS!A:C,3,FALSE)*G203</f>
        <v>0</v>
      </c>
      <c r="L203" s="39" t="str">
        <f t="shared" si="12"/>
        <v/>
      </c>
      <c r="M203" s="39" t="str">
        <f t="shared" si="13"/>
        <v>0</v>
      </c>
      <c r="N203" s="39" t="str">
        <f t="shared" si="14"/>
        <v xml:space="preserve"> ()</v>
      </c>
    </row>
    <row r="204" spans="1:14" x14ac:dyDescent="0.3">
      <c r="A204" s="34"/>
      <c r="B204" s="38"/>
      <c r="C204" s="34"/>
      <c r="D204" s="21"/>
      <c r="E204" s="21"/>
      <c r="G204" s="21"/>
      <c r="H204" s="21"/>
      <c r="I204" s="34"/>
      <c r="J204" s="34"/>
      <c r="K204" s="39">
        <f>VLOOKUP(A204,OPTIONS!A:C,3,FALSE)*G204</f>
        <v>0</v>
      </c>
      <c r="L204" s="39" t="str">
        <f t="shared" si="12"/>
        <v/>
      </c>
      <c r="M204" s="39" t="str">
        <f t="shared" si="13"/>
        <v>0</v>
      </c>
      <c r="N204" s="39" t="str">
        <f t="shared" si="14"/>
        <v xml:space="preserve"> ()</v>
      </c>
    </row>
    <row r="205" spans="1:14" x14ac:dyDescent="0.3">
      <c r="A205" s="34"/>
      <c r="B205" s="38"/>
      <c r="C205" s="34"/>
      <c r="D205" s="21"/>
      <c r="E205" s="21"/>
      <c r="G205" s="21"/>
      <c r="H205" s="21"/>
      <c r="I205" s="34"/>
      <c r="J205" s="34"/>
      <c r="K205" s="39">
        <f>VLOOKUP(A205,OPTIONS!A:C,3,FALSE)*G205</f>
        <v>0</v>
      </c>
      <c r="L205" s="39" t="str">
        <f t="shared" si="12"/>
        <v/>
      </c>
      <c r="M205" s="39" t="str">
        <f t="shared" si="13"/>
        <v>0</v>
      </c>
      <c r="N205" s="39" t="str">
        <f t="shared" si="14"/>
        <v xml:space="preserve"> ()</v>
      </c>
    </row>
    <row r="206" spans="1:14" x14ac:dyDescent="0.3">
      <c r="A206" s="34"/>
      <c r="B206" s="38"/>
      <c r="C206" s="34"/>
      <c r="D206" s="21"/>
      <c r="E206" s="21"/>
      <c r="G206" s="21"/>
      <c r="H206" s="21"/>
      <c r="I206" s="34"/>
      <c r="J206" s="34"/>
      <c r="K206" s="39">
        <f>VLOOKUP(A206,OPTIONS!A:C,3,FALSE)*G206</f>
        <v>0</v>
      </c>
      <c r="L206" s="39" t="str">
        <f t="shared" si="12"/>
        <v/>
      </c>
      <c r="M206" s="39" t="str">
        <f t="shared" si="13"/>
        <v>0</v>
      </c>
      <c r="N206" s="39" t="str">
        <f t="shared" si="14"/>
        <v xml:space="preserve"> ()</v>
      </c>
    </row>
    <row r="207" spans="1:14" x14ac:dyDescent="0.3">
      <c r="A207" s="34"/>
      <c r="B207" s="38"/>
      <c r="C207" s="34"/>
      <c r="D207" s="21"/>
      <c r="E207" s="21"/>
      <c r="G207" s="21"/>
      <c r="H207" s="21"/>
      <c r="I207" s="34"/>
      <c r="J207" s="34"/>
      <c r="K207" s="39">
        <f>VLOOKUP(A207,OPTIONS!A:C,3,FALSE)*G207</f>
        <v>0</v>
      </c>
      <c r="L207" s="39" t="str">
        <f t="shared" si="12"/>
        <v/>
      </c>
      <c r="M207" s="39" t="str">
        <f t="shared" si="13"/>
        <v>0</v>
      </c>
      <c r="N207" s="39" t="str">
        <f t="shared" si="14"/>
        <v xml:space="preserve"> ()</v>
      </c>
    </row>
    <row r="208" spans="1:14" x14ac:dyDescent="0.3">
      <c r="A208" s="34"/>
      <c r="B208" s="38"/>
      <c r="C208" s="34"/>
      <c r="D208" s="21"/>
      <c r="E208" s="21"/>
      <c r="G208" s="21"/>
      <c r="H208" s="21"/>
      <c r="I208" s="34"/>
      <c r="J208" s="34"/>
      <c r="K208" s="39">
        <f>VLOOKUP(A208,OPTIONS!A:C,3,FALSE)*G208</f>
        <v>0</v>
      </c>
      <c r="L208" s="39" t="str">
        <f t="shared" si="12"/>
        <v/>
      </c>
      <c r="M208" s="39" t="str">
        <f t="shared" si="13"/>
        <v>0</v>
      </c>
      <c r="N208" s="39" t="str">
        <f t="shared" si="14"/>
        <v xml:space="preserve"> ()</v>
      </c>
    </row>
    <row r="209" spans="1:14" x14ac:dyDescent="0.3">
      <c r="A209" s="34"/>
      <c r="B209" s="38"/>
      <c r="C209" s="34"/>
      <c r="D209" s="21"/>
      <c r="E209" s="21"/>
      <c r="G209" s="21"/>
      <c r="H209" s="21"/>
      <c r="I209" s="34"/>
      <c r="J209" s="34"/>
      <c r="K209" s="39">
        <f>VLOOKUP(A209,OPTIONS!A:C,3,FALSE)*G209</f>
        <v>0</v>
      </c>
      <c r="L209" s="39" t="str">
        <f t="shared" si="12"/>
        <v/>
      </c>
      <c r="M209" s="39" t="str">
        <f t="shared" si="13"/>
        <v>0</v>
      </c>
      <c r="N209" s="39" t="str">
        <f t="shared" si="14"/>
        <v xml:space="preserve"> ()</v>
      </c>
    </row>
    <row r="210" spans="1:14" x14ac:dyDescent="0.3">
      <c r="A210" s="34"/>
      <c r="B210" s="38"/>
      <c r="C210" s="34"/>
      <c r="D210" s="21"/>
      <c r="E210" s="21"/>
      <c r="G210" s="21"/>
      <c r="H210" s="21"/>
      <c r="I210" s="34"/>
      <c r="J210" s="34"/>
      <c r="K210" s="39">
        <f>VLOOKUP(A210,OPTIONS!A:C,3,FALSE)*G210</f>
        <v>0</v>
      </c>
      <c r="L210" s="39" t="str">
        <f t="shared" si="12"/>
        <v/>
      </c>
      <c r="M210" s="39" t="str">
        <f t="shared" si="13"/>
        <v>0</v>
      </c>
      <c r="N210" s="39" t="str">
        <f t="shared" si="14"/>
        <v xml:space="preserve"> ()</v>
      </c>
    </row>
    <row r="211" spans="1:14" x14ac:dyDescent="0.3">
      <c r="A211" s="34"/>
      <c r="B211" s="38"/>
      <c r="C211" s="34"/>
      <c r="D211" s="21"/>
      <c r="E211" s="21"/>
      <c r="G211" s="21"/>
      <c r="H211" s="21"/>
      <c r="I211" s="34"/>
      <c r="J211" s="34"/>
      <c r="K211" s="39">
        <f>VLOOKUP(A211,OPTIONS!A:C,3,FALSE)*G211</f>
        <v>0</v>
      </c>
      <c r="L211" s="39" t="str">
        <f t="shared" si="12"/>
        <v/>
      </c>
      <c r="M211" s="39" t="str">
        <f t="shared" si="13"/>
        <v>0</v>
      </c>
      <c r="N211" s="39" t="str">
        <f t="shared" si="14"/>
        <v xml:space="preserve"> ()</v>
      </c>
    </row>
    <row r="212" spans="1:14" x14ac:dyDescent="0.3">
      <c r="A212" s="34"/>
      <c r="B212" s="38"/>
      <c r="C212" s="34"/>
      <c r="D212" s="21"/>
      <c r="E212" s="21"/>
      <c r="G212" s="21"/>
      <c r="H212" s="21"/>
      <c r="I212" s="34"/>
      <c r="J212" s="34"/>
      <c r="K212" s="39">
        <f>VLOOKUP(A212,OPTIONS!A:C,3,FALSE)*G212</f>
        <v>0</v>
      </c>
      <c r="L212" s="39" t="str">
        <f t="shared" si="12"/>
        <v/>
      </c>
      <c r="M212" s="39" t="str">
        <f t="shared" si="13"/>
        <v>0</v>
      </c>
      <c r="N212" s="39" t="str">
        <f t="shared" si="14"/>
        <v xml:space="preserve"> ()</v>
      </c>
    </row>
    <row r="213" spans="1:14" x14ac:dyDescent="0.3">
      <c r="A213" s="34"/>
      <c r="B213" s="38"/>
      <c r="C213" s="34"/>
      <c r="D213" s="21"/>
      <c r="E213" s="21"/>
      <c r="G213" s="21"/>
      <c r="H213" s="21"/>
      <c r="I213" s="34"/>
      <c r="J213" s="34"/>
      <c r="K213" s="39">
        <f>VLOOKUP(A213,OPTIONS!A:C,3,FALSE)*G213</f>
        <v>0</v>
      </c>
      <c r="L213" s="39" t="str">
        <f t="shared" si="12"/>
        <v/>
      </c>
      <c r="M213" s="39" t="str">
        <f t="shared" si="13"/>
        <v>0</v>
      </c>
      <c r="N213" s="39" t="str">
        <f t="shared" si="14"/>
        <v xml:space="preserve"> ()</v>
      </c>
    </row>
    <row r="214" spans="1:14" x14ac:dyDescent="0.3">
      <c r="A214" s="34"/>
      <c r="B214" s="38"/>
      <c r="C214" s="34"/>
      <c r="D214" s="21"/>
      <c r="E214" s="21"/>
      <c r="G214" s="21"/>
      <c r="H214" s="21"/>
      <c r="I214" s="34"/>
      <c r="J214" s="34"/>
      <c r="K214" s="39">
        <f>VLOOKUP(A214,OPTIONS!A:C,3,FALSE)*G214</f>
        <v>0</v>
      </c>
      <c r="L214" s="39" t="str">
        <f t="shared" si="12"/>
        <v/>
      </c>
      <c r="M214" s="39" t="str">
        <f t="shared" si="13"/>
        <v>0</v>
      </c>
      <c r="N214" s="39" t="str">
        <f t="shared" si="14"/>
        <v xml:space="preserve"> ()</v>
      </c>
    </row>
    <row r="215" spans="1:14" x14ac:dyDescent="0.3">
      <c r="A215" s="34"/>
      <c r="B215" s="38"/>
      <c r="C215" s="34"/>
      <c r="D215" s="21"/>
      <c r="E215" s="21"/>
      <c r="G215" s="21"/>
      <c r="H215" s="21"/>
      <c r="I215" s="34"/>
      <c r="J215" s="34"/>
      <c r="K215" s="39">
        <f>VLOOKUP(A215,OPTIONS!A:C,3,FALSE)*G215</f>
        <v>0</v>
      </c>
      <c r="L215" s="39" t="str">
        <f t="shared" si="12"/>
        <v/>
      </c>
      <c r="M215" s="39" t="str">
        <f t="shared" si="13"/>
        <v>0</v>
      </c>
      <c r="N215" s="39" t="str">
        <f t="shared" si="14"/>
        <v xml:space="preserve"> ()</v>
      </c>
    </row>
    <row r="216" spans="1:14" x14ac:dyDescent="0.3">
      <c r="A216" s="34"/>
      <c r="B216" s="38"/>
      <c r="C216" s="34"/>
      <c r="D216" s="21"/>
      <c r="E216" s="21"/>
      <c r="G216" s="21"/>
      <c r="H216" s="21"/>
      <c r="I216" s="34"/>
      <c r="J216" s="34"/>
      <c r="K216" s="39">
        <f>VLOOKUP(A216,OPTIONS!A:C,3,FALSE)*G216</f>
        <v>0</v>
      </c>
      <c r="L216" s="39" t="str">
        <f t="shared" si="12"/>
        <v/>
      </c>
      <c r="M216" s="39" t="str">
        <f t="shared" si="13"/>
        <v>0</v>
      </c>
      <c r="N216" s="39" t="str">
        <f t="shared" si="14"/>
        <v xml:space="preserve"> ()</v>
      </c>
    </row>
    <row r="217" spans="1:14" x14ac:dyDescent="0.3">
      <c r="A217" s="34"/>
      <c r="B217" s="38"/>
      <c r="C217" s="34"/>
      <c r="D217" s="21"/>
      <c r="E217" s="21"/>
      <c r="G217" s="21"/>
      <c r="H217" s="21"/>
      <c r="I217" s="34"/>
      <c r="J217" s="34"/>
      <c r="K217" s="39">
        <f>VLOOKUP(A217,OPTIONS!A:C,3,FALSE)*G217</f>
        <v>0</v>
      </c>
      <c r="L217" s="39" t="str">
        <f t="shared" ref="L217:L280" si="15">TRIM(CONCATENATE(G217," ", $H217, " ", $E217))</f>
        <v/>
      </c>
      <c r="M217" s="39" t="str">
        <f t="shared" ref="M217:M280" si="16">TRIM(CONCATENATE(K217," ", $H217, " ", $E217))</f>
        <v>0</v>
      </c>
      <c r="N217" s="39" t="str">
        <f t="shared" ref="N217:N280" si="17">CONCATENATE(E217, " (", TRIM(H217), ")")</f>
        <v xml:space="preserve"> ()</v>
      </c>
    </row>
    <row r="218" spans="1:14" x14ac:dyDescent="0.3">
      <c r="A218" s="34"/>
      <c r="B218" s="38"/>
      <c r="C218" s="34"/>
      <c r="D218" s="21"/>
      <c r="E218" s="21"/>
      <c r="G218" s="21"/>
      <c r="H218" s="21"/>
      <c r="I218" s="34"/>
      <c r="J218" s="34"/>
      <c r="K218" s="39">
        <f>VLOOKUP(A218,OPTIONS!A:C,3,FALSE)*G218</f>
        <v>0</v>
      </c>
      <c r="L218" s="39" t="str">
        <f t="shared" si="15"/>
        <v/>
      </c>
      <c r="M218" s="39" t="str">
        <f t="shared" si="16"/>
        <v>0</v>
      </c>
      <c r="N218" s="39" t="str">
        <f t="shared" si="17"/>
        <v xml:space="preserve"> ()</v>
      </c>
    </row>
    <row r="219" spans="1:14" x14ac:dyDescent="0.3">
      <c r="A219" s="34"/>
      <c r="B219" s="38"/>
      <c r="C219" s="34"/>
      <c r="D219" s="21"/>
      <c r="E219" s="21"/>
      <c r="G219" s="21"/>
      <c r="H219" s="21"/>
      <c r="I219" s="34"/>
      <c r="J219" s="34"/>
      <c r="K219" s="39">
        <f>VLOOKUP(A219,OPTIONS!A:C,3,FALSE)*G219</f>
        <v>0</v>
      </c>
      <c r="L219" s="39" t="str">
        <f t="shared" si="15"/>
        <v/>
      </c>
      <c r="M219" s="39" t="str">
        <f t="shared" si="16"/>
        <v>0</v>
      </c>
      <c r="N219" s="39" t="str">
        <f t="shared" si="17"/>
        <v xml:space="preserve"> ()</v>
      </c>
    </row>
    <row r="220" spans="1:14" x14ac:dyDescent="0.3">
      <c r="A220" s="34"/>
      <c r="B220" s="38"/>
      <c r="C220" s="34"/>
      <c r="D220" s="21"/>
      <c r="E220" s="21"/>
      <c r="G220" s="21"/>
      <c r="H220" s="21"/>
      <c r="I220" s="34"/>
      <c r="J220" s="34"/>
      <c r="K220" s="39">
        <f>VLOOKUP(A220,OPTIONS!A:C,3,FALSE)*G220</f>
        <v>0</v>
      </c>
      <c r="L220" s="39" t="str">
        <f t="shared" si="15"/>
        <v/>
      </c>
      <c r="M220" s="39" t="str">
        <f t="shared" si="16"/>
        <v>0</v>
      </c>
      <c r="N220" s="39" t="str">
        <f t="shared" si="17"/>
        <v xml:space="preserve"> ()</v>
      </c>
    </row>
    <row r="221" spans="1:14" x14ac:dyDescent="0.3">
      <c r="A221" s="34"/>
      <c r="B221" s="38"/>
      <c r="C221" s="34"/>
      <c r="D221" s="21"/>
      <c r="E221" s="21"/>
      <c r="G221" s="21"/>
      <c r="H221" s="21"/>
      <c r="I221" s="34"/>
      <c r="J221" s="34"/>
      <c r="K221" s="39">
        <f>VLOOKUP(A221,OPTIONS!A:C,3,FALSE)*G221</f>
        <v>0</v>
      </c>
      <c r="L221" s="39" t="str">
        <f t="shared" si="15"/>
        <v/>
      </c>
      <c r="M221" s="39" t="str">
        <f t="shared" si="16"/>
        <v>0</v>
      </c>
      <c r="N221" s="39" t="str">
        <f t="shared" si="17"/>
        <v xml:space="preserve"> ()</v>
      </c>
    </row>
    <row r="222" spans="1:14" x14ac:dyDescent="0.3">
      <c r="A222" s="34"/>
      <c r="B222" s="38"/>
      <c r="C222" s="34"/>
      <c r="D222" s="21"/>
      <c r="E222" s="21"/>
      <c r="G222" s="21"/>
      <c r="H222" s="21"/>
      <c r="I222" s="34"/>
      <c r="J222" s="34"/>
      <c r="K222" s="39">
        <f>VLOOKUP(A222,OPTIONS!A:C,3,FALSE)*G222</f>
        <v>0</v>
      </c>
      <c r="L222" s="39" t="str">
        <f t="shared" si="15"/>
        <v/>
      </c>
      <c r="M222" s="39" t="str">
        <f t="shared" si="16"/>
        <v>0</v>
      </c>
      <c r="N222" s="39" t="str">
        <f t="shared" si="17"/>
        <v xml:space="preserve"> ()</v>
      </c>
    </row>
    <row r="223" spans="1:14" x14ac:dyDescent="0.3">
      <c r="A223" s="34"/>
      <c r="B223" s="38"/>
      <c r="C223" s="34"/>
      <c r="D223" s="21"/>
      <c r="E223" s="21"/>
      <c r="G223" s="21"/>
      <c r="H223" s="21"/>
      <c r="I223" s="34"/>
      <c r="J223" s="34"/>
      <c r="K223" s="39">
        <f>VLOOKUP(A223,OPTIONS!A:C,3,FALSE)*G223</f>
        <v>0</v>
      </c>
      <c r="L223" s="39" t="str">
        <f t="shared" si="15"/>
        <v/>
      </c>
      <c r="M223" s="39" t="str">
        <f t="shared" si="16"/>
        <v>0</v>
      </c>
      <c r="N223" s="39" t="str">
        <f t="shared" si="17"/>
        <v xml:space="preserve"> ()</v>
      </c>
    </row>
    <row r="224" spans="1:14" x14ac:dyDescent="0.3">
      <c r="A224" s="34"/>
      <c r="B224" s="38"/>
      <c r="C224" s="34"/>
      <c r="D224" s="21"/>
      <c r="E224" s="21"/>
      <c r="G224" s="21"/>
      <c r="H224" s="21"/>
      <c r="I224" s="34"/>
      <c r="J224" s="34"/>
      <c r="K224" s="39">
        <f>VLOOKUP(A224,OPTIONS!A:C,3,FALSE)*G224</f>
        <v>0</v>
      </c>
      <c r="L224" s="39" t="str">
        <f t="shared" si="15"/>
        <v/>
      </c>
      <c r="M224" s="39" t="str">
        <f t="shared" si="16"/>
        <v>0</v>
      </c>
      <c r="N224" s="39" t="str">
        <f t="shared" si="17"/>
        <v xml:space="preserve"> ()</v>
      </c>
    </row>
    <row r="225" spans="1:14" x14ac:dyDescent="0.3">
      <c r="A225" s="34"/>
      <c r="B225" s="38"/>
      <c r="C225" s="34"/>
      <c r="D225" s="21"/>
      <c r="E225" s="21"/>
      <c r="G225" s="21"/>
      <c r="H225" s="21"/>
      <c r="I225" s="34"/>
      <c r="J225" s="34"/>
      <c r="K225" s="39">
        <f>VLOOKUP(A225,OPTIONS!A:C,3,FALSE)*G225</f>
        <v>0</v>
      </c>
      <c r="L225" s="39" t="str">
        <f t="shared" si="15"/>
        <v/>
      </c>
      <c r="M225" s="39" t="str">
        <f t="shared" si="16"/>
        <v>0</v>
      </c>
      <c r="N225" s="39" t="str">
        <f t="shared" si="17"/>
        <v xml:space="preserve"> ()</v>
      </c>
    </row>
    <row r="226" spans="1:14" x14ac:dyDescent="0.3">
      <c r="A226" s="34"/>
      <c r="B226" s="38"/>
      <c r="C226" s="34"/>
      <c r="D226" s="21"/>
      <c r="E226" s="21"/>
      <c r="G226" s="21"/>
      <c r="H226" s="21"/>
      <c r="I226" s="34"/>
      <c r="J226" s="34"/>
      <c r="K226" s="39">
        <f>VLOOKUP(A226,OPTIONS!A:C,3,FALSE)*G226</f>
        <v>0</v>
      </c>
      <c r="L226" s="39" t="str">
        <f t="shared" si="15"/>
        <v/>
      </c>
      <c r="M226" s="39" t="str">
        <f t="shared" si="16"/>
        <v>0</v>
      </c>
      <c r="N226" s="39" t="str">
        <f t="shared" si="17"/>
        <v xml:space="preserve"> ()</v>
      </c>
    </row>
    <row r="227" spans="1:14" x14ac:dyDescent="0.3">
      <c r="A227" s="34"/>
      <c r="B227" s="38"/>
      <c r="C227" s="34"/>
      <c r="D227" s="21"/>
      <c r="E227" s="21"/>
      <c r="G227" s="21"/>
      <c r="H227" s="21"/>
      <c r="I227" s="34"/>
      <c r="J227" s="34"/>
      <c r="K227" s="39">
        <f>VLOOKUP(A227,OPTIONS!A:C,3,FALSE)*G227</f>
        <v>0</v>
      </c>
      <c r="L227" s="39" t="str">
        <f t="shared" si="15"/>
        <v/>
      </c>
      <c r="M227" s="39" t="str">
        <f t="shared" si="16"/>
        <v>0</v>
      </c>
      <c r="N227" s="39" t="str">
        <f t="shared" si="17"/>
        <v xml:space="preserve"> ()</v>
      </c>
    </row>
    <row r="228" spans="1:14" x14ac:dyDescent="0.3">
      <c r="A228" s="34"/>
      <c r="B228" s="38"/>
      <c r="C228" s="34"/>
      <c r="D228" s="21"/>
      <c r="E228" s="21"/>
      <c r="G228" s="21"/>
      <c r="H228" s="21"/>
      <c r="I228" s="34"/>
      <c r="J228" s="34"/>
      <c r="K228" s="39">
        <f>VLOOKUP(A228,OPTIONS!A:C,3,FALSE)*G228</f>
        <v>0</v>
      </c>
      <c r="L228" s="39" t="str">
        <f t="shared" si="15"/>
        <v/>
      </c>
      <c r="M228" s="39" t="str">
        <f t="shared" si="16"/>
        <v>0</v>
      </c>
      <c r="N228" s="39" t="str">
        <f t="shared" si="17"/>
        <v xml:space="preserve"> ()</v>
      </c>
    </row>
    <row r="229" spans="1:14" x14ac:dyDescent="0.3">
      <c r="A229" s="34"/>
      <c r="B229" s="38"/>
      <c r="C229" s="34"/>
      <c r="D229" s="21"/>
      <c r="E229" s="21"/>
      <c r="G229" s="21"/>
      <c r="H229" s="21"/>
      <c r="I229" s="34"/>
      <c r="J229" s="34"/>
      <c r="K229" s="39">
        <f>VLOOKUP(A229,OPTIONS!A:C,3,FALSE)*G229</f>
        <v>0</v>
      </c>
      <c r="L229" s="39" t="str">
        <f t="shared" si="15"/>
        <v/>
      </c>
      <c r="M229" s="39" t="str">
        <f t="shared" si="16"/>
        <v>0</v>
      </c>
      <c r="N229" s="39" t="str">
        <f t="shared" si="17"/>
        <v xml:space="preserve"> ()</v>
      </c>
    </row>
    <row r="230" spans="1:14" x14ac:dyDescent="0.3">
      <c r="A230" s="34"/>
      <c r="B230" s="38"/>
      <c r="C230" s="34"/>
      <c r="D230" s="21"/>
      <c r="E230" s="21"/>
      <c r="G230" s="21"/>
      <c r="H230" s="21"/>
      <c r="I230" s="34"/>
      <c r="J230" s="34"/>
      <c r="K230" s="39">
        <f>VLOOKUP(A230,OPTIONS!A:C,3,FALSE)*G230</f>
        <v>0</v>
      </c>
      <c r="L230" s="39" t="str">
        <f t="shared" si="15"/>
        <v/>
      </c>
      <c r="M230" s="39" t="str">
        <f t="shared" si="16"/>
        <v>0</v>
      </c>
      <c r="N230" s="39" t="str">
        <f t="shared" si="17"/>
        <v xml:space="preserve"> ()</v>
      </c>
    </row>
    <row r="231" spans="1:14" x14ac:dyDescent="0.3">
      <c r="A231" s="34"/>
      <c r="B231" s="38"/>
      <c r="C231" s="34"/>
      <c r="D231" s="21"/>
      <c r="E231" s="21"/>
      <c r="G231" s="21"/>
      <c r="H231" s="21"/>
      <c r="I231" s="34"/>
      <c r="J231" s="34"/>
      <c r="K231" s="39">
        <f>VLOOKUP(A231,OPTIONS!A:C,3,FALSE)*G231</f>
        <v>0</v>
      </c>
      <c r="L231" s="39" t="str">
        <f t="shared" si="15"/>
        <v/>
      </c>
      <c r="M231" s="39" t="str">
        <f t="shared" si="16"/>
        <v>0</v>
      </c>
      <c r="N231" s="39" t="str">
        <f t="shared" si="17"/>
        <v xml:space="preserve"> ()</v>
      </c>
    </row>
    <row r="232" spans="1:14" x14ac:dyDescent="0.3">
      <c r="A232" s="34"/>
      <c r="B232" s="38"/>
      <c r="C232" s="34"/>
      <c r="D232" s="21"/>
      <c r="E232" s="21"/>
      <c r="G232" s="21"/>
      <c r="H232" s="21"/>
      <c r="I232" s="34"/>
      <c r="J232" s="34"/>
      <c r="K232" s="39">
        <f>VLOOKUP(A232,OPTIONS!A:C,3,FALSE)*G232</f>
        <v>0</v>
      </c>
      <c r="L232" s="39" t="str">
        <f t="shared" si="15"/>
        <v/>
      </c>
      <c r="M232" s="39" t="str">
        <f t="shared" si="16"/>
        <v>0</v>
      </c>
      <c r="N232" s="39" t="str">
        <f t="shared" si="17"/>
        <v xml:space="preserve"> ()</v>
      </c>
    </row>
    <row r="233" spans="1:14" x14ac:dyDescent="0.3">
      <c r="A233" s="34"/>
      <c r="B233" s="38"/>
      <c r="C233" s="34"/>
      <c r="D233" s="21"/>
      <c r="E233" s="21"/>
      <c r="G233" s="21"/>
      <c r="H233" s="21"/>
      <c r="I233" s="34"/>
      <c r="J233" s="34"/>
      <c r="K233" s="39">
        <f>VLOOKUP(A233,OPTIONS!A:C,3,FALSE)*G233</f>
        <v>0</v>
      </c>
      <c r="L233" s="39" t="str">
        <f t="shared" si="15"/>
        <v/>
      </c>
      <c r="M233" s="39" t="str">
        <f t="shared" si="16"/>
        <v>0</v>
      </c>
      <c r="N233" s="39" t="str">
        <f t="shared" si="17"/>
        <v xml:space="preserve"> ()</v>
      </c>
    </row>
    <row r="234" spans="1:14" x14ac:dyDescent="0.3">
      <c r="A234" s="34"/>
      <c r="B234" s="38"/>
      <c r="C234" s="34"/>
      <c r="D234" s="21"/>
      <c r="E234" s="21"/>
      <c r="G234" s="21"/>
      <c r="H234" s="21"/>
      <c r="I234" s="34"/>
      <c r="J234" s="34"/>
      <c r="K234" s="39">
        <f>VLOOKUP(A234,OPTIONS!A:C,3,FALSE)*G234</f>
        <v>0</v>
      </c>
      <c r="L234" s="39" t="str">
        <f t="shared" si="15"/>
        <v/>
      </c>
      <c r="M234" s="39" t="str">
        <f t="shared" si="16"/>
        <v>0</v>
      </c>
      <c r="N234" s="39" t="str">
        <f t="shared" si="17"/>
        <v xml:space="preserve"> ()</v>
      </c>
    </row>
    <row r="235" spans="1:14" x14ac:dyDescent="0.3">
      <c r="A235" s="34"/>
      <c r="B235" s="38"/>
      <c r="C235" s="34"/>
      <c r="D235" s="21"/>
      <c r="E235" s="21"/>
      <c r="G235" s="21"/>
      <c r="H235" s="21"/>
      <c r="I235" s="34"/>
      <c r="J235" s="34"/>
      <c r="K235" s="39">
        <f>VLOOKUP(A235,OPTIONS!A:C,3,FALSE)*G235</f>
        <v>0</v>
      </c>
      <c r="L235" s="39" t="str">
        <f t="shared" si="15"/>
        <v/>
      </c>
      <c r="M235" s="39" t="str">
        <f t="shared" si="16"/>
        <v>0</v>
      </c>
      <c r="N235" s="39" t="str">
        <f t="shared" si="17"/>
        <v xml:space="preserve"> ()</v>
      </c>
    </row>
    <row r="236" spans="1:14" x14ac:dyDescent="0.3">
      <c r="A236" s="34"/>
      <c r="B236" s="38"/>
      <c r="C236" s="34"/>
      <c r="D236" s="21"/>
      <c r="E236" s="21"/>
      <c r="G236" s="21"/>
      <c r="H236" s="21"/>
      <c r="I236" s="34"/>
      <c r="J236" s="34"/>
      <c r="K236" s="39">
        <f>VLOOKUP(A236,OPTIONS!A:C,3,FALSE)*G236</f>
        <v>0</v>
      </c>
      <c r="L236" s="39" t="str">
        <f t="shared" si="15"/>
        <v/>
      </c>
      <c r="M236" s="39" t="str">
        <f t="shared" si="16"/>
        <v>0</v>
      </c>
      <c r="N236" s="39" t="str">
        <f t="shared" si="17"/>
        <v xml:space="preserve"> ()</v>
      </c>
    </row>
    <row r="237" spans="1:14" x14ac:dyDescent="0.3">
      <c r="A237" s="34"/>
      <c r="B237" s="38"/>
      <c r="C237" s="34"/>
      <c r="D237" s="21"/>
      <c r="E237" s="21"/>
      <c r="G237" s="21"/>
      <c r="H237" s="21"/>
      <c r="I237" s="34"/>
      <c r="J237" s="34"/>
      <c r="K237" s="39">
        <f>VLOOKUP(A237,OPTIONS!A:C,3,FALSE)*G237</f>
        <v>0</v>
      </c>
      <c r="L237" s="39" t="str">
        <f t="shared" si="15"/>
        <v/>
      </c>
      <c r="M237" s="39" t="str">
        <f t="shared" si="16"/>
        <v>0</v>
      </c>
      <c r="N237" s="39" t="str">
        <f t="shared" si="17"/>
        <v xml:space="preserve"> ()</v>
      </c>
    </row>
    <row r="238" spans="1:14" x14ac:dyDescent="0.3">
      <c r="A238" s="34"/>
      <c r="B238" s="38"/>
      <c r="C238" s="34"/>
      <c r="D238" s="21"/>
      <c r="E238" s="21"/>
      <c r="G238" s="21"/>
      <c r="H238" s="21"/>
      <c r="I238" s="34"/>
      <c r="J238" s="34"/>
      <c r="K238" s="39">
        <f>VLOOKUP(A238,OPTIONS!A:C,3,FALSE)*G238</f>
        <v>0</v>
      </c>
      <c r="L238" s="39" t="str">
        <f t="shared" si="15"/>
        <v/>
      </c>
      <c r="M238" s="39" t="str">
        <f t="shared" si="16"/>
        <v>0</v>
      </c>
      <c r="N238" s="39" t="str">
        <f t="shared" si="17"/>
        <v xml:space="preserve"> ()</v>
      </c>
    </row>
    <row r="239" spans="1:14" x14ac:dyDescent="0.3">
      <c r="A239" s="34"/>
      <c r="B239" s="38"/>
      <c r="C239" s="34"/>
      <c r="D239" s="21"/>
      <c r="E239" s="21"/>
      <c r="G239" s="21"/>
      <c r="H239" s="21"/>
      <c r="I239" s="34"/>
      <c r="J239" s="34"/>
      <c r="K239" s="39">
        <f>VLOOKUP(A239,OPTIONS!A:C,3,FALSE)*G239</f>
        <v>0</v>
      </c>
      <c r="L239" s="39" t="str">
        <f t="shared" si="15"/>
        <v/>
      </c>
      <c r="M239" s="39" t="str">
        <f t="shared" si="16"/>
        <v>0</v>
      </c>
      <c r="N239" s="39" t="str">
        <f t="shared" si="17"/>
        <v xml:space="preserve"> ()</v>
      </c>
    </row>
    <row r="240" spans="1:14" x14ac:dyDescent="0.3">
      <c r="A240" s="34"/>
      <c r="B240" s="38"/>
      <c r="C240" s="34"/>
      <c r="D240" s="21"/>
      <c r="E240" s="21"/>
      <c r="G240" s="21"/>
      <c r="H240" s="21"/>
      <c r="I240" s="34"/>
      <c r="J240" s="34"/>
      <c r="K240" s="39">
        <f>VLOOKUP(A240,OPTIONS!A:C,3,FALSE)*G240</f>
        <v>0</v>
      </c>
      <c r="L240" s="39" t="str">
        <f t="shared" si="15"/>
        <v/>
      </c>
      <c r="M240" s="39" t="str">
        <f t="shared" si="16"/>
        <v>0</v>
      </c>
      <c r="N240" s="39" t="str">
        <f t="shared" si="17"/>
        <v xml:space="preserve"> ()</v>
      </c>
    </row>
    <row r="241" spans="1:14" x14ac:dyDescent="0.3">
      <c r="A241" s="34"/>
      <c r="B241" s="38"/>
      <c r="C241" s="34"/>
      <c r="D241" s="21"/>
      <c r="E241" s="21"/>
      <c r="G241" s="21"/>
      <c r="H241" s="21"/>
      <c r="I241" s="34"/>
      <c r="J241" s="34"/>
      <c r="K241" s="39">
        <f>VLOOKUP(A241,OPTIONS!A:C,3,FALSE)*G241</f>
        <v>0</v>
      </c>
      <c r="L241" s="39" t="str">
        <f t="shared" si="15"/>
        <v/>
      </c>
      <c r="M241" s="39" t="str">
        <f t="shared" si="16"/>
        <v>0</v>
      </c>
      <c r="N241" s="39" t="str">
        <f t="shared" si="17"/>
        <v xml:space="preserve"> ()</v>
      </c>
    </row>
    <row r="242" spans="1:14" x14ac:dyDescent="0.3">
      <c r="A242" s="34"/>
      <c r="B242" s="38"/>
      <c r="C242" s="34"/>
      <c r="D242" s="21"/>
      <c r="E242" s="21"/>
      <c r="G242" s="21"/>
      <c r="H242" s="21"/>
      <c r="I242" s="34"/>
      <c r="J242" s="34"/>
      <c r="K242" s="39">
        <f>VLOOKUP(A242,OPTIONS!A:C,3,FALSE)*G242</f>
        <v>0</v>
      </c>
      <c r="L242" s="39" t="str">
        <f t="shared" si="15"/>
        <v/>
      </c>
      <c r="M242" s="39" t="str">
        <f t="shared" si="16"/>
        <v>0</v>
      </c>
      <c r="N242" s="39" t="str">
        <f t="shared" si="17"/>
        <v xml:space="preserve"> ()</v>
      </c>
    </row>
    <row r="243" spans="1:14" x14ac:dyDescent="0.3">
      <c r="A243" s="34"/>
      <c r="B243" s="38"/>
      <c r="C243" s="34"/>
      <c r="D243" s="21"/>
      <c r="E243" s="21"/>
      <c r="G243" s="21"/>
      <c r="H243" s="21"/>
      <c r="I243" s="34"/>
      <c r="J243" s="34"/>
      <c r="K243" s="39">
        <f>VLOOKUP(A243,OPTIONS!A:C,3,FALSE)*G243</f>
        <v>0</v>
      </c>
      <c r="L243" s="39" t="str">
        <f t="shared" si="15"/>
        <v/>
      </c>
      <c r="M243" s="39" t="str">
        <f t="shared" si="16"/>
        <v>0</v>
      </c>
      <c r="N243" s="39" t="str">
        <f t="shared" si="17"/>
        <v xml:space="preserve"> ()</v>
      </c>
    </row>
    <row r="244" spans="1:14" x14ac:dyDescent="0.3">
      <c r="A244" s="34"/>
      <c r="B244" s="38"/>
      <c r="C244" s="34"/>
      <c r="D244" s="21"/>
      <c r="E244" s="21"/>
      <c r="G244" s="21"/>
      <c r="H244" s="21"/>
      <c r="I244" s="34"/>
      <c r="J244" s="34"/>
      <c r="K244" s="39">
        <f>VLOOKUP(A244,OPTIONS!A:C,3,FALSE)*G244</f>
        <v>0</v>
      </c>
      <c r="L244" s="39" t="str">
        <f t="shared" si="15"/>
        <v/>
      </c>
      <c r="M244" s="39" t="str">
        <f t="shared" si="16"/>
        <v>0</v>
      </c>
      <c r="N244" s="39" t="str">
        <f t="shared" si="17"/>
        <v xml:space="preserve"> ()</v>
      </c>
    </row>
    <row r="245" spans="1:14" x14ac:dyDescent="0.3">
      <c r="A245" s="34"/>
      <c r="B245" s="38"/>
      <c r="C245" s="34"/>
      <c r="D245" s="21"/>
      <c r="E245" s="21"/>
      <c r="G245" s="21"/>
      <c r="H245" s="21"/>
      <c r="I245" s="34"/>
      <c r="J245" s="34"/>
      <c r="K245" s="39">
        <f>VLOOKUP(A245,OPTIONS!A:C,3,FALSE)*G245</f>
        <v>0</v>
      </c>
      <c r="L245" s="39" t="str">
        <f t="shared" si="15"/>
        <v/>
      </c>
      <c r="M245" s="39" t="str">
        <f t="shared" si="16"/>
        <v>0</v>
      </c>
      <c r="N245" s="39" t="str">
        <f t="shared" si="17"/>
        <v xml:space="preserve"> ()</v>
      </c>
    </row>
    <row r="246" spans="1:14" x14ac:dyDescent="0.3">
      <c r="A246" s="34"/>
      <c r="B246" s="38"/>
      <c r="C246" s="34"/>
      <c r="D246" s="21"/>
      <c r="E246" s="21"/>
      <c r="G246" s="21"/>
      <c r="H246" s="21"/>
      <c r="I246" s="34"/>
      <c r="J246" s="34"/>
      <c r="K246" s="39">
        <f>VLOOKUP(A246,OPTIONS!A:C,3,FALSE)*G246</f>
        <v>0</v>
      </c>
      <c r="L246" s="39" t="str">
        <f t="shared" si="15"/>
        <v/>
      </c>
      <c r="M246" s="39" t="str">
        <f t="shared" si="16"/>
        <v>0</v>
      </c>
      <c r="N246" s="39" t="str">
        <f t="shared" si="17"/>
        <v xml:space="preserve"> ()</v>
      </c>
    </row>
    <row r="247" spans="1:14" x14ac:dyDescent="0.3">
      <c r="A247" s="34"/>
      <c r="B247" s="38"/>
      <c r="C247" s="34"/>
      <c r="D247" s="21"/>
      <c r="E247" s="21"/>
      <c r="G247" s="21"/>
      <c r="H247" s="21"/>
      <c r="I247" s="34"/>
      <c r="J247" s="34"/>
      <c r="K247" s="39">
        <f>VLOOKUP(A247,OPTIONS!A:C,3,FALSE)*G247</f>
        <v>0</v>
      </c>
      <c r="L247" s="39" t="str">
        <f t="shared" si="15"/>
        <v/>
      </c>
      <c r="M247" s="39" t="str">
        <f t="shared" si="16"/>
        <v>0</v>
      </c>
      <c r="N247" s="39" t="str">
        <f t="shared" si="17"/>
        <v xml:space="preserve"> ()</v>
      </c>
    </row>
    <row r="248" spans="1:14" x14ac:dyDescent="0.3">
      <c r="A248" s="34"/>
      <c r="B248" s="38"/>
      <c r="C248" s="34"/>
      <c r="D248" s="21"/>
      <c r="E248" s="21"/>
      <c r="G248" s="21"/>
      <c r="H248" s="21"/>
      <c r="I248" s="34"/>
      <c r="J248" s="34"/>
      <c r="K248" s="39">
        <f>VLOOKUP(A248,OPTIONS!A:C,3,FALSE)*G248</f>
        <v>0</v>
      </c>
      <c r="L248" s="39" t="str">
        <f t="shared" si="15"/>
        <v/>
      </c>
      <c r="M248" s="39" t="str">
        <f t="shared" si="16"/>
        <v>0</v>
      </c>
      <c r="N248" s="39" t="str">
        <f t="shared" si="17"/>
        <v xml:space="preserve"> ()</v>
      </c>
    </row>
    <row r="249" spans="1:14" x14ac:dyDescent="0.3">
      <c r="A249" s="34"/>
      <c r="B249" s="38"/>
      <c r="C249" s="34"/>
      <c r="D249" s="21"/>
      <c r="E249" s="21"/>
      <c r="G249" s="21"/>
      <c r="H249" s="21"/>
      <c r="I249" s="34"/>
      <c r="J249" s="34"/>
      <c r="K249" s="39">
        <f>VLOOKUP(A249,OPTIONS!A:C,3,FALSE)*G249</f>
        <v>0</v>
      </c>
      <c r="L249" s="39" t="str">
        <f t="shared" si="15"/>
        <v/>
      </c>
      <c r="M249" s="39" t="str">
        <f t="shared" si="16"/>
        <v>0</v>
      </c>
      <c r="N249" s="39" t="str">
        <f t="shared" si="17"/>
        <v xml:space="preserve"> ()</v>
      </c>
    </row>
    <row r="250" spans="1:14" x14ac:dyDescent="0.3">
      <c r="A250" s="34"/>
      <c r="B250" s="38"/>
      <c r="C250" s="34"/>
      <c r="D250" s="21"/>
      <c r="E250" s="21"/>
      <c r="G250" s="21"/>
      <c r="H250" s="21"/>
      <c r="I250" s="34"/>
      <c r="J250" s="34"/>
      <c r="K250" s="39">
        <f>VLOOKUP(A250,OPTIONS!A:C,3,FALSE)*G250</f>
        <v>0</v>
      </c>
      <c r="L250" s="39" t="str">
        <f t="shared" si="15"/>
        <v/>
      </c>
      <c r="M250" s="39" t="str">
        <f t="shared" si="16"/>
        <v>0</v>
      </c>
      <c r="N250" s="39" t="str">
        <f t="shared" si="17"/>
        <v xml:space="preserve"> ()</v>
      </c>
    </row>
    <row r="251" spans="1:14" x14ac:dyDescent="0.3">
      <c r="A251" s="34"/>
      <c r="B251" s="38"/>
      <c r="C251" s="34"/>
      <c r="D251" s="21"/>
      <c r="E251" s="21"/>
      <c r="G251" s="21"/>
      <c r="H251" s="21"/>
      <c r="I251" s="34"/>
      <c r="J251" s="34"/>
      <c r="K251" s="39">
        <f>VLOOKUP(A251,OPTIONS!A:C,3,FALSE)*G251</f>
        <v>0</v>
      </c>
      <c r="L251" s="39" t="str">
        <f t="shared" si="15"/>
        <v/>
      </c>
      <c r="M251" s="39" t="str">
        <f t="shared" si="16"/>
        <v>0</v>
      </c>
      <c r="N251" s="39" t="str">
        <f t="shared" si="17"/>
        <v xml:space="preserve"> ()</v>
      </c>
    </row>
    <row r="252" spans="1:14" x14ac:dyDescent="0.3">
      <c r="A252" s="34"/>
      <c r="B252" s="38"/>
      <c r="C252" s="34"/>
      <c r="D252" s="21"/>
      <c r="E252" s="21"/>
      <c r="G252" s="21"/>
      <c r="H252" s="21"/>
      <c r="I252" s="34"/>
      <c r="J252" s="34"/>
      <c r="K252" s="39">
        <f>VLOOKUP(A252,OPTIONS!A:C,3,FALSE)*G252</f>
        <v>0</v>
      </c>
      <c r="L252" s="39" t="str">
        <f t="shared" si="15"/>
        <v/>
      </c>
      <c r="M252" s="39" t="str">
        <f t="shared" si="16"/>
        <v>0</v>
      </c>
      <c r="N252" s="39" t="str">
        <f t="shared" si="17"/>
        <v xml:space="preserve"> ()</v>
      </c>
    </row>
    <row r="253" spans="1:14" x14ac:dyDescent="0.3">
      <c r="A253" s="34"/>
      <c r="B253" s="38"/>
      <c r="C253" s="34"/>
      <c r="D253" s="21"/>
      <c r="E253" s="21"/>
      <c r="G253" s="21"/>
      <c r="H253" s="21"/>
      <c r="I253" s="34"/>
      <c r="J253" s="34"/>
      <c r="K253" s="39">
        <f>VLOOKUP(A253,OPTIONS!A:C,3,FALSE)*G253</f>
        <v>0</v>
      </c>
      <c r="L253" s="39" t="str">
        <f t="shared" si="15"/>
        <v/>
      </c>
      <c r="M253" s="39" t="str">
        <f t="shared" si="16"/>
        <v>0</v>
      </c>
      <c r="N253" s="39" t="str">
        <f t="shared" si="17"/>
        <v xml:space="preserve"> ()</v>
      </c>
    </row>
    <row r="254" spans="1:14" x14ac:dyDescent="0.3">
      <c r="A254" s="34"/>
      <c r="B254" s="38"/>
      <c r="C254" s="34"/>
      <c r="D254" s="21"/>
      <c r="E254" s="21"/>
      <c r="G254" s="21"/>
      <c r="H254" s="21"/>
      <c r="I254" s="34"/>
      <c r="J254" s="34"/>
      <c r="K254" s="39">
        <f>VLOOKUP(A254,OPTIONS!A:C,3,FALSE)*G254</f>
        <v>0</v>
      </c>
      <c r="L254" s="39" t="str">
        <f t="shared" si="15"/>
        <v/>
      </c>
      <c r="M254" s="39" t="str">
        <f t="shared" si="16"/>
        <v>0</v>
      </c>
      <c r="N254" s="39" t="str">
        <f t="shared" si="17"/>
        <v xml:space="preserve"> ()</v>
      </c>
    </row>
    <row r="255" spans="1:14" x14ac:dyDescent="0.3">
      <c r="A255" s="34"/>
      <c r="B255" s="38"/>
      <c r="C255" s="34"/>
      <c r="D255" s="21"/>
      <c r="E255" s="21"/>
      <c r="G255" s="21"/>
      <c r="H255" s="21"/>
      <c r="I255" s="34"/>
      <c r="J255" s="34"/>
      <c r="K255" s="39">
        <f>VLOOKUP(A255,OPTIONS!A:C,3,FALSE)*G255</f>
        <v>0</v>
      </c>
      <c r="L255" s="39" t="str">
        <f t="shared" si="15"/>
        <v/>
      </c>
      <c r="M255" s="39" t="str">
        <f t="shared" si="16"/>
        <v>0</v>
      </c>
      <c r="N255" s="39" t="str">
        <f t="shared" si="17"/>
        <v xml:space="preserve"> ()</v>
      </c>
    </row>
    <row r="256" spans="1:14" x14ac:dyDescent="0.3">
      <c r="A256" s="34"/>
      <c r="B256" s="38"/>
      <c r="C256" s="34"/>
      <c r="D256" s="21"/>
      <c r="E256" s="21"/>
      <c r="G256" s="21"/>
      <c r="H256" s="21"/>
      <c r="I256" s="34"/>
      <c r="J256" s="34"/>
      <c r="K256" s="39">
        <f>VLOOKUP(A256,OPTIONS!A:C,3,FALSE)*G256</f>
        <v>0</v>
      </c>
      <c r="L256" s="39" t="str">
        <f t="shared" si="15"/>
        <v/>
      </c>
      <c r="M256" s="39" t="str">
        <f t="shared" si="16"/>
        <v>0</v>
      </c>
      <c r="N256" s="39" t="str">
        <f t="shared" si="17"/>
        <v xml:space="preserve"> ()</v>
      </c>
    </row>
    <row r="257" spans="1:14" x14ac:dyDescent="0.3">
      <c r="A257" s="34"/>
      <c r="B257" s="38"/>
      <c r="C257" s="34"/>
      <c r="D257" s="21"/>
      <c r="E257" s="21"/>
      <c r="G257" s="21"/>
      <c r="H257" s="21"/>
      <c r="I257" s="34"/>
      <c r="J257" s="34"/>
      <c r="K257" s="39">
        <f>VLOOKUP(A257,OPTIONS!A:C,3,FALSE)*G257</f>
        <v>0</v>
      </c>
      <c r="L257" s="39" t="str">
        <f t="shared" si="15"/>
        <v/>
      </c>
      <c r="M257" s="39" t="str">
        <f t="shared" si="16"/>
        <v>0</v>
      </c>
      <c r="N257" s="39" t="str">
        <f t="shared" si="17"/>
        <v xml:space="preserve"> ()</v>
      </c>
    </row>
    <row r="258" spans="1:14" x14ac:dyDescent="0.3">
      <c r="A258" s="34"/>
      <c r="B258" s="38"/>
      <c r="C258" s="34"/>
      <c r="D258" s="21"/>
      <c r="E258" s="21"/>
      <c r="G258" s="21"/>
      <c r="H258" s="21"/>
      <c r="I258" s="34"/>
      <c r="J258" s="34"/>
      <c r="K258" s="39">
        <f>VLOOKUP(A258,OPTIONS!A:C,3,FALSE)*G258</f>
        <v>0</v>
      </c>
      <c r="L258" s="39" t="str">
        <f t="shared" si="15"/>
        <v/>
      </c>
      <c r="M258" s="39" t="str">
        <f t="shared" si="16"/>
        <v>0</v>
      </c>
      <c r="N258" s="39" t="str">
        <f t="shared" si="17"/>
        <v xml:space="preserve"> ()</v>
      </c>
    </row>
    <row r="259" spans="1:14" x14ac:dyDescent="0.3">
      <c r="A259" s="34"/>
      <c r="B259" s="38"/>
      <c r="C259" s="34"/>
      <c r="D259" s="21"/>
      <c r="E259" s="21"/>
      <c r="G259" s="21"/>
      <c r="H259" s="21"/>
      <c r="I259" s="34"/>
      <c r="J259" s="34"/>
      <c r="K259" s="39">
        <f>VLOOKUP(A259,OPTIONS!A:C,3,FALSE)*G259</f>
        <v>0</v>
      </c>
      <c r="L259" s="39" t="str">
        <f t="shared" si="15"/>
        <v/>
      </c>
      <c r="M259" s="39" t="str">
        <f t="shared" si="16"/>
        <v>0</v>
      </c>
      <c r="N259" s="39" t="str">
        <f t="shared" si="17"/>
        <v xml:space="preserve"> ()</v>
      </c>
    </row>
    <row r="260" spans="1:14" x14ac:dyDescent="0.3">
      <c r="A260" s="34"/>
      <c r="B260" s="38"/>
      <c r="C260" s="34"/>
      <c r="D260" s="21"/>
      <c r="E260" s="21"/>
      <c r="G260" s="21"/>
      <c r="H260" s="21"/>
      <c r="I260" s="34"/>
      <c r="J260" s="34"/>
      <c r="K260" s="39">
        <f>VLOOKUP(A260,OPTIONS!A:C,3,FALSE)*G260</f>
        <v>0</v>
      </c>
      <c r="L260" s="39" t="str">
        <f t="shared" si="15"/>
        <v/>
      </c>
      <c r="M260" s="39" t="str">
        <f t="shared" si="16"/>
        <v>0</v>
      </c>
      <c r="N260" s="39" t="str">
        <f t="shared" si="17"/>
        <v xml:space="preserve"> ()</v>
      </c>
    </row>
    <row r="261" spans="1:14" x14ac:dyDescent="0.3">
      <c r="A261" s="34"/>
      <c r="B261" s="38"/>
      <c r="C261" s="34"/>
      <c r="D261" s="21"/>
      <c r="E261" s="21"/>
      <c r="G261" s="21"/>
      <c r="H261" s="21"/>
      <c r="I261" s="34"/>
      <c r="J261" s="34"/>
      <c r="K261" s="39">
        <f>VLOOKUP(A261,OPTIONS!A:C,3,FALSE)*G261</f>
        <v>0</v>
      </c>
      <c r="L261" s="39" t="str">
        <f t="shared" si="15"/>
        <v/>
      </c>
      <c r="M261" s="39" t="str">
        <f t="shared" si="16"/>
        <v>0</v>
      </c>
      <c r="N261" s="39" t="str">
        <f t="shared" si="17"/>
        <v xml:space="preserve"> ()</v>
      </c>
    </row>
    <row r="262" spans="1:14" x14ac:dyDescent="0.3">
      <c r="A262" s="34"/>
      <c r="B262" s="38"/>
      <c r="C262" s="34"/>
      <c r="D262" s="21"/>
      <c r="E262" s="21"/>
      <c r="G262" s="21"/>
      <c r="H262" s="21"/>
      <c r="I262" s="34"/>
      <c r="J262" s="34"/>
      <c r="K262" s="39">
        <f>VLOOKUP(A262,OPTIONS!A:C,3,FALSE)*G262</f>
        <v>0</v>
      </c>
      <c r="L262" s="39" t="str">
        <f t="shared" si="15"/>
        <v/>
      </c>
      <c r="M262" s="39" t="str">
        <f t="shared" si="16"/>
        <v>0</v>
      </c>
      <c r="N262" s="39" t="str">
        <f t="shared" si="17"/>
        <v xml:space="preserve"> ()</v>
      </c>
    </row>
    <row r="263" spans="1:14" x14ac:dyDescent="0.3">
      <c r="A263" s="34"/>
      <c r="B263" s="38"/>
      <c r="C263" s="34"/>
      <c r="D263" s="21"/>
      <c r="E263" s="21"/>
      <c r="G263" s="21"/>
      <c r="H263" s="21"/>
      <c r="I263" s="34"/>
      <c r="J263" s="34"/>
      <c r="K263" s="39">
        <f>VLOOKUP(A263,OPTIONS!A:C,3,FALSE)*G263</f>
        <v>0</v>
      </c>
      <c r="L263" s="39" t="str">
        <f t="shared" si="15"/>
        <v/>
      </c>
      <c r="M263" s="39" t="str">
        <f t="shared" si="16"/>
        <v>0</v>
      </c>
      <c r="N263" s="39" t="str">
        <f t="shared" si="17"/>
        <v xml:space="preserve"> ()</v>
      </c>
    </row>
    <row r="264" spans="1:14" x14ac:dyDescent="0.3">
      <c r="A264" s="34"/>
      <c r="B264" s="38"/>
      <c r="C264" s="34"/>
      <c r="D264" s="21"/>
      <c r="E264" s="21"/>
      <c r="G264" s="21"/>
      <c r="H264" s="21"/>
      <c r="I264" s="34"/>
      <c r="J264" s="34"/>
      <c r="K264" s="39">
        <f>VLOOKUP(A264,OPTIONS!A:C,3,FALSE)*G264</f>
        <v>0</v>
      </c>
      <c r="L264" s="39" t="str">
        <f t="shared" si="15"/>
        <v/>
      </c>
      <c r="M264" s="39" t="str">
        <f t="shared" si="16"/>
        <v>0</v>
      </c>
      <c r="N264" s="39" t="str">
        <f t="shared" si="17"/>
        <v xml:space="preserve"> ()</v>
      </c>
    </row>
    <row r="265" spans="1:14" x14ac:dyDescent="0.3">
      <c r="A265" s="34"/>
      <c r="B265" s="38"/>
      <c r="C265" s="34"/>
      <c r="D265" s="21"/>
      <c r="E265" s="21"/>
      <c r="G265" s="21"/>
      <c r="H265" s="21"/>
      <c r="I265" s="34"/>
      <c r="J265" s="34"/>
      <c r="K265" s="39">
        <f>VLOOKUP(A265,OPTIONS!A:C,3,FALSE)*G265</f>
        <v>0</v>
      </c>
      <c r="L265" s="39" t="str">
        <f t="shared" si="15"/>
        <v/>
      </c>
      <c r="M265" s="39" t="str">
        <f t="shared" si="16"/>
        <v>0</v>
      </c>
      <c r="N265" s="39" t="str">
        <f t="shared" si="17"/>
        <v xml:space="preserve"> ()</v>
      </c>
    </row>
    <row r="266" spans="1:14" x14ac:dyDescent="0.3">
      <c r="A266" s="34"/>
      <c r="B266" s="38"/>
      <c r="C266" s="34"/>
      <c r="D266" s="21"/>
      <c r="E266" s="21"/>
      <c r="G266" s="21"/>
      <c r="H266" s="21"/>
      <c r="I266" s="34"/>
      <c r="J266" s="34"/>
      <c r="K266" s="39">
        <f>VLOOKUP(A266,OPTIONS!A:C,3,FALSE)*G266</f>
        <v>0</v>
      </c>
      <c r="L266" s="39" t="str">
        <f t="shared" si="15"/>
        <v/>
      </c>
      <c r="M266" s="39" t="str">
        <f t="shared" si="16"/>
        <v>0</v>
      </c>
      <c r="N266" s="39" t="str">
        <f t="shared" si="17"/>
        <v xml:space="preserve"> ()</v>
      </c>
    </row>
    <row r="267" spans="1:14" x14ac:dyDescent="0.3">
      <c r="A267" s="34"/>
      <c r="B267" s="38"/>
      <c r="C267" s="34"/>
      <c r="D267" s="21"/>
      <c r="E267" s="21"/>
      <c r="G267" s="21"/>
      <c r="H267" s="21"/>
      <c r="I267" s="34"/>
      <c r="J267" s="34"/>
      <c r="K267" s="39">
        <f>VLOOKUP(A267,OPTIONS!A:C,3,FALSE)*G267</f>
        <v>0</v>
      </c>
      <c r="L267" s="39" t="str">
        <f t="shared" si="15"/>
        <v/>
      </c>
      <c r="M267" s="39" t="str">
        <f t="shared" si="16"/>
        <v>0</v>
      </c>
      <c r="N267" s="39" t="str">
        <f t="shared" si="17"/>
        <v xml:space="preserve"> ()</v>
      </c>
    </row>
    <row r="268" spans="1:14" x14ac:dyDescent="0.3">
      <c r="A268" s="34"/>
      <c r="B268" s="38"/>
      <c r="C268" s="34"/>
      <c r="D268" s="21"/>
      <c r="E268" s="21"/>
      <c r="G268" s="21"/>
      <c r="H268" s="21"/>
      <c r="I268" s="34"/>
      <c r="J268" s="34"/>
      <c r="K268" s="39">
        <f>VLOOKUP(A268,OPTIONS!A:C,3,FALSE)*G268</f>
        <v>0</v>
      </c>
      <c r="L268" s="39" t="str">
        <f t="shared" si="15"/>
        <v/>
      </c>
      <c r="M268" s="39" t="str">
        <f t="shared" si="16"/>
        <v>0</v>
      </c>
      <c r="N268" s="39" t="str">
        <f t="shared" si="17"/>
        <v xml:space="preserve"> ()</v>
      </c>
    </row>
    <row r="269" spans="1:14" x14ac:dyDescent="0.3">
      <c r="A269" s="34"/>
      <c r="B269" s="38"/>
      <c r="C269" s="34"/>
      <c r="D269" s="21"/>
      <c r="E269" s="21"/>
      <c r="G269" s="21"/>
      <c r="H269" s="21"/>
      <c r="I269" s="34"/>
      <c r="J269" s="34"/>
      <c r="K269" s="39">
        <f>VLOOKUP(A269,OPTIONS!A:C,3,FALSE)*G269</f>
        <v>0</v>
      </c>
      <c r="L269" s="39" t="str">
        <f t="shared" si="15"/>
        <v/>
      </c>
      <c r="M269" s="39" t="str">
        <f t="shared" si="16"/>
        <v>0</v>
      </c>
      <c r="N269" s="39" t="str">
        <f t="shared" si="17"/>
        <v xml:space="preserve"> ()</v>
      </c>
    </row>
    <row r="270" spans="1:14" x14ac:dyDescent="0.3">
      <c r="A270" s="34"/>
      <c r="B270" s="38"/>
      <c r="C270" s="34"/>
      <c r="D270" s="21"/>
      <c r="E270" s="21"/>
      <c r="G270" s="21"/>
      <c r="H270" s="21"/>
      <c r="I270" s="34"/>
      <c r="J270" s="34"/>
      <c r="K270" s="39">
        <f>VLOOKUP(A270,OPTIONS!A:C,3,FALSE)*G270</f>
        <v>0</v>
      </c>
      <c r="L270" s="39" t="str">
        <f t="shared" si="15"/>
        <v/>
      </c>
      <c r="M270" s="39" t="str">
        <f t="shared" si="16"/>
        <v>0</v>
      </c>
      <c r="N270" s="39" t="str">
        <f t="shared" si="17"/>
        <v xml:space="preserve"> ()</v>
      </c>
    </row>
    <row r="271" spans="1:14" x14ac:dyDescent="0.3">
      <c r="A271" s="34"/>
      <c r="B271" s="38"/>
      <c r="C271" s="34"/>
      <c r="D271" s="21"/>
      <c r="E271" s="21"/>
      <c r="G271" s="21"/>
      <c r="H271" s="21"/>
      <c r="I271" s="34"/>
      <c r="J271" s="34"/>
      <c r="K271" s="39">
        <f>VLOOKUP(A271,OPTIONS!A:C,3,FALSE)*G271</f>
        <v>0</v>
      </c>
      <c r="L271" s="39" t="str">
        <f t="shared" si="15"/>
        <v/>
      </c>
      <c r="M271" s="39" t="str">
        <f t="shared" si="16"/>
        <v>0</v>
      </c>
      <c r="N271" s="39" t="str">
        <f t="shared" si="17"/>
        <v xml:space="preserve"> ()</v>
      </c>
    </row>
    <row r="272" spans="1:14" x14ac:dyDescent="0.3">
      <c r="A272" s="34"/>
      <c r="B272" s="38"/>
      <c r="C272" s="34"/>
      <c r="D272" s="21"/>
      <c r="E272" s="21"/>
      <c r="G272" s="21"/>
      <c r="H272" s="21"/>
      <c r="I272" s="34"/>
      <c r="J272" s="34"/>
      <c r="K272" s="39">
        <f>VLOOKUP(A272,OPTIONS!A:C,3,FALSE)*G272</f>
        <v>0</v>
      </c>
      <c r="L272" s="39" t="str">
        <f t="shared" si="15"/>
        <v/>
      </c>
      <c r="M272" s="39" t="str">
        <f t="shared" si="16"/>
        <v>0</v>
      </c>
      <c r="N272" s="39" t="str">
        <f t="shared" si="17"/>
        <v xml:space="preserve"> ()</v>
      </c>
    </row>
    <row r="273" spans="1:14" x14ac:dyDescent="0.3">
      <c r="A273" s="34"/>
      <c r="B273" s="38"/>
      <c r="C273" s="34"/>
      <c r="D273" s="21"/>
      <c r="E273" s="21"/>
      <c r="G273" s="21"/>
      <c r="H273" s="21"/>
      <c r="I273" s="34"/>
      <c r="J273" s="34"/>
      <c r="K273" s="39">
        <f>VLOOKUP(A273,OPTIONS!A:C,3,FALSE)*G273</f>
        <v>0</v>
      </c>
      <c r="L273" s="39" t="str">
        <f t="shared" si="15"/>
        <v/>
      </c>
      <c r="M273" s="39" t="str">
        <f t="shared" si="16"/>
        <v>0</v>
      </c>
      <c r="N273" s="39" t="str">
        <f t="shared" si="17"/>
        <v xml:space="preserve"> ()</v>
      </c>
    </row>
    <row r="274" spans="1:14" x14ac:dyDescent="0.3">
      <c r="A274" s="34"/>
      <c r="B274" s="38"/>
      <c r="C274" s="34"/>
      <c r="D274" s="21"/>
      <c r="E274" s="21"/>
      <c r="G274" s="21"/>
      <c r="H274" s="21"/>
      <c r="I274" s="34"/>
      <c r="J274" s="34"/>
      <c r="K274" s="39">
        <f>VLOOKUP(A274,OPTIONS!A:C,3,FALSE)*G274</f>
        <v>0</v>
      </c>
      <c r="L274" s="39" t="str">
        <f t="shared" si="15"/>
        <v/>
      </c>
      <c r="M274" s="39" t="str">
        <f t="shared" si="16"/>
        <v>0</v>
      </c>
      <c r="N274" s="39" t="str">
        <f t="shared" si="17"/>
        <v xml:space="preserve"> ()</v>
      </c>
    </row>
    <row r="275" spans="1:14" x14ac:dyDescent="0.3">
      <c r="A275" s="34"/>
      <c r="B275" s="38"/>
      <c r="C275" s="34"/>
      <c r="D275" s="21"/>
      <c r="E275" s="21"/>
      <c r="G275" s="21"/>
      <c r="H275" s="21"/>
      <c r="I275" s="34"/>
      <c r="J275" s="34"/>
      <c r="K275" s="39">
        <f>VLOOKUP(A275,OPTIONS!A:C,3,FALSE)*G275</f>
        <v>0</v>
      </c>
      <c r="L275" s="39" t="str">
        <f t="shared" si="15"/>
        <v/>
      </c>
      <c r="M275" s="39" t="str">
        <f t="shared" si="16"/>
        <v>0</v>
      </c>
      <c r="N275" s="39" t="str">
        <f t="shared" si="17"/>
        <v xml:space="preserve"> ()</v>
      </c>
    </row>
    <row r="276" spans="1:14" x14ac:dyDescent="0.3">
      <c r="A276" s="34"/>
      <c r="B276" s="38"/>
      <c r="C276" s="34"/>
      <c r="D276" s="21"/>
      <c r="E276" s="21"/>
      <c r="G276" s="21"/>
      <c r="H276" s="21"/>
      <c r="I276" s="34"/>
      <c r="J276" s="34"/>
      <c r="K276" s="39">
        <f>VLOOKUP(A276,OPTIONS!A:C,3,FALSE)*G276</f>
        <v>0</v>
      </c>
      <c r="L276" s="39" t="str">
        <f t="shared" si="15"/>
        <v/>
      </c>
      <c r="M276" s="39" t="str">
        <f t="shared" si="16"/>
        <v>0</v>
      </c>
      <c r="N276" s="39" t="str">
        <f t="shared" si="17"/>
        <v xml:space="preserve"> ()</v>
      </c>
    </row>
    <row r="277" spans="1:14" x14ac:dyDescent="0.3">
      <c r="A277" s="34"/>
      <c r="B277" s="38"/>
      <c r="C277" s="34"/>
      <c r="D277" s="21"/>
      <c r="E277" s="21"/>
      <c r="G277" s="21"/>
      <c r="H277" s="21"/>
      <c r="I277" s="34"/>
      <c r="J277" s="34"/>
      <c r="K277" s="39">
        <f>VLOOKUP(A277,OPTIONS!A:C,3,FALSE)*G277</f>
        <v>0</v>
      </c>
      <c r="L277" s="39" t="str">
        <f t="shared" si="15"/>
        <v/>
      </c>
      <c r="M277" s="39" t="str">
        <f t="shared" si="16"/>
        <v>0</v>
      </c>
      <c r="N277" s="39" t="str">
        <f t="shared" si="17"/>
        <v xml:space="preserve"> ()</v>
      </c>
    </row>
    <row r="278" spans="1:14" x14ac:dyDescent="0.3">
      <c r="A278" s="34"/>
      <c r="B278" s="38"/>
      <c r="C278" s="34"/>
      <c r="D278" s="21"/>
      <c r="E278" s="21"/>
      <c r="G278" s="21"/>
      <c r="H278" s="21"/>
      <c r="I278" s="34"/>
      <c r="J278" s="34"/>
      <c r="K278" s="39">
        <f>VLOOKUP(A278,OPTIONS!A:C,3,FALSE)*G278</f>
        <v>0</v>
      </c>
      <c r="L278" s="39" t="str">
        <f t="shared" si="15"/>
        <v/>
      </c>
      <c r="M278" s="39" t="str">
        <f t="shared" si="16"/>
        <v>0</v>
      </c>
      <c r="N278" s="39" t="str">
        <f t="shared" si="17"/>
        <v xml:space="preserve"> ()</v>
      </c>
    </row>
    <row r="279" spans="1:14" x14ac:dyDescent="0.3">
      <c r="A279" s="34"/>
      <c r="B279" s="38"/>
      <c r="C279" s="34"/>
      <c r="D279" s="21"/>
      <c r="E279" s="21"/>
      <c r="G279" s="21"/>
      <c r="H279" s="21"/>
      <c r="I279" s="34"/>
      <c r="J279" s="34"/>
      <c r="K279" s="39">
        <f>VLOOKUP(A279,OPTIONS!A:C,3,FALSE)*G279</f>
        <v>0</v>
      </c>
      <c r="L279" s="39" t="str">
        <f t="shared" si="15"/>
        <v/>
      </c>
      <c r="M279" s="39" t="str">
        <f t="shared" si="16"/>
        <v>0</v>
      </c>
      <c r="N279" s="39" t="str">
        <f t="shared" si="17"/>
        <v xml:space="preserve"> ()</v>
      </c>
    </row>
    <row r="280" spans="1:14" x14ac:dyDescent="0.3">
      <c r="A280" s="34"/>
      <c r="B280" s="38"/>
      <c r="C280" s="34"/>
      <c r="D280" s="21"/>
      <c r="E280" s="21"/>
      <c r="G280" s="21"/>
      <c r="H280" s="21"/>
      <c r="I280" s="34"/>
      <c r="J280" s="34"/>
      <c r="K280" s="39">
        <f>VLOOKUP(A280,OPTIONS!A:C,3,FALSE)*G280</f>
        <v>0</v>
      </c>
      <c r="L280" s="39" t="str">
        <f t="shared" si="15"/>
        <v/>
      </c>
      <c r="M280" s="39" t="str">
        <f t="shared" si="16"/>
        <v>0</v>
      </c>
      <c r="N280" s="39" t="str">
        <f t="shared" si="17"/>
        <v xml:space="preserve"> ()</v>
      </c>
    </row>
    <row r="281" spans="1:14" x14ac:dyDescent="0.3">
      <c r="A281" s="34"/>
      <c r="B281" s="38"/>
      <c r="C281" s="34"/>
      <c r="D281" s="21"/>
      <c r="E281" s="21"/>
      <c r="G281" s="21"/>
      <c r="H281" s="21"/>
      <c r="I281" s="34"/>
      <c r="J281" s="34"/>
      <c r="K281" s="39">
        <f>VLOOKUP(A281,OPTIONS!A:C,3,FALSE)*G281</f>
        <v>0</v>
      </c>
      <c r="L281" s="39" t="str">
        <f t="shared" ref="L281:L344" si="18">TRIM(CONCATENATE(G281," ", $H281, " ", $E281))</f>
        <v/>
      </c>
      <c r="M281" s="39" t="str">
        <f t="shared" ref="M281:M344" si="19">TRIM(CONCATENATE(K281," ", $H281, " ", $E281))</f>
        <v>0</v>
      </c>
      <c r="N281" s="39" t="str">
        <f t="shared" ref="N281:N344" si="20">CONCATENATE(E281, " (", TRIM(H281), ")")</f>
        <v xml:space="preserve"> ()</v>
      </c>
    </row>
    <row r="282" spans="1:14" x14ac:dyDescent="0.3">
      <c r="A282" s="34"/>
      <c r="B282" s="38"/>
      <c r="C282" s="34"/>
      <c r="D282" s="21"/>
      <c r="E282" s="21"/>
      <c r="G282" s="21"/>
      <c r="H282" s="21"/>
      <c r="I282" s="34"/>
      <c r="J282" s="34"/>
      <c r="K282" s="39">
        <f>VLOOKUP(A282,OPTIONS!A:C,3,FALSE)*G282</f>
        <v>0</v>
      </c>
      <c r="L282" s="39" t="str">
        <f t="shared" si="18"/>
        <v/>
      </c>
      <c r="M282" s="39" t="str">
        <f t="shared" si="19"/>
        <v>0</v>
      </c>
      <c r="N282" s="39" t="str">
        <f t="shared" si="20"/>
        <v xml:space="preserve"> ()</v>
      </c>
    </row>
    <row r="283" spans="1:14" x14ac:dyDescent="0.3">
      <c r="A283" s="34"/>
      <c r="B283" s="38"/>
      <c r="C283" s="34"/>
      <c r="D283" s="21"/>
      <c r="E283" s="21"/>
      <c r="G283" s="21"/>
      <c r="H283" s="21"/>
      <c r="I283" s="34"/>
      <c r="J283" s="34"/>
      <c r="K283" s="39">
        <f>VLOOKUP(A283,OPTIONS!A:C,3,FALSE)*G283</f>
        <v>0</v>
      </c>
      <c r="L283" s="39" t="str">
        <f t="shared" si="18"/>
        <v/>
      </c>
      <c r="M283" s="39" t="str">
        <f t="shared" si="19"/>
        <v>0</v>
      </c>
      <c r="N283" s="39" t="str">
        <f t="shared" si="20"/>
        <v xml:space="preserve"> ()</v>
      </c>
    </row>
    <row r="284" spans="1:14" x14ac:dyDescent="0.3">
      <c r="A284" s="34"/>
      <c r="B284" s="38"/>
      <c r="C284" s="34"/>
      <c r="D284" s="21"/>
      <c r="E284" s="21"/>
      <c r="G284" s="21"/>
      <c r="H284" s="21"/>
      <c r="I284" s="34"/>
      <c r="J284" s="34"/>
      <c r="K284" s="39">
        <f>VLOOKUP(A284,OPTIONS!A:C,3,FALSE)*G284</f>
        <v>0</v>
      </c>
      <c r="L284" s="39" t="str">
        <f t="shared" si="18"/>
        <v/>
      </c>
      <c r="M284" s="39" t="str">
        <f t="shared" si="19"/>
        <v>0</v>
      </c>
      <c r="N284" s="39" t="str">
        <f t="shared" si="20"/>
        <v xml:space="preserve"> ()</v>
      </c>
    </row>
    <row r="285" spans="1:14" x14ac:dyDescent="0.3">
      <c r="A285" s="34"/>
      <c r="B285" s="38"/>
      <c r="C285" s="34"/>
      <c r="D285" s="21"/>
      <c r="E285" s="21"/>
      <c r="G285" s="21"/>
      <c r="H285" s="21"/>
      <c r="I285" s="34"/>
      <c r="J285" s="34"/>
      <c r="K285" s="39">
        <f>VLOOKUP(A285,OPTIONS!A:C,3,FALSE)*G285</f>
        <v>0</v>
      </c>
      <c r="L285" s="39" t="str">
        <f t="shared" si="18"/>
        <v/>
      </c>
      <c r="M285" s="39" t="str">
        <f t="shared" si="19"/>
        <v>0</v>
      </c>
      <c r="N285" s="39" t="str">
        <f t="shared" si="20"/>
        <v xml:space="preserve"> ()</v>
      </c>
    </row>
    <row r="286" spans="1:14" x14ac:dyDescent="0.3">
      <c r="A286" s="34"/>
      <c r="B286" s="38"/>
      <c r="C286" s="34"/>
      <c r="D286" s="21"/>
      <c r="E286" s="21"/>
      <c r="G286" s="21"/>
      <c r="H286" s="21"/>
      <c r="I286" s="34"/>
      <c r="J286" s="34"/>
      <c r="K286" s="39">
        <f>VLOOKUP(A286,OPTIONS!A:C,3,FALSE)*G286</f>
        <v>0</v>
      </c>
      <c r="L286" s="39" t="str">
        <f t="shared" si="18"/>
        <v/>
      </c>
      <c r="M286" s="39" t="str">
        <f t="shared" si="19"/>
        <v>0</v>
      </c>
      <c r="N286" s="39" t="str">
        <f t="shared" si="20"/>
        <v xml:space="preserve"> ()</v>
      </c>
    </row>
    <row r="287" spans="1:14" x14ac:dyDescent="0.3">
      <c r="A287" s="34"/>
      <c r="B287" s="38"/>
      <c r="C287" s="34"/>
      <c r="D287" s="21"/>
      <c r="E287" s="21"/>
      <c r="G287" s="21"/>
      <c r="H287" s="21"/>
      <c r="I287" s="34"/>
      <c r="J287" s="34"/>
      <c r="K287" s="39">
        <f>VLOOKUP(A287,OPTIONS!A:C,3,FALSE)*G287</f>
        <v>0</v>
      </c>
      <c r="L287" s="39" t="str">
        <f t="shared" si="18"/>
        <v/>
      </c>
      <c r="M287" s="39" t="str">
        <f t="shared" si="19"/>
        <v>0</v>
      </c>
      <c r="N287" s="39" t="str">
        <f t="shared" si="20"/>
        <v xml:space="preserve"> ()</v>
      </c>
    </row>
    <row r="288" spans="1:14" x14ac:dyDescent="0.3">
      <c r="A288" s="34"/>
      <c r="B288" s="38"/>
      <c r="C288" s="34"/>
      <c r="D288" s="21"/>
      <c r="E288" s="21"/>
      <c r="G288" s="21"/>
      <c r="H288" s="21"/>
      <c r="I288" s="34"/>
      <c r="J288" s="34"/>
      <c r="K288" s="39">
        <f>VLOOKUP(A288,OPTIONS!A:C,3,FALSE)*G288</f>
        <v>0</v>
      </c>
      <c r="L288" s="39" t="str">
        <f t="shared" si="18"/>
        <v/>
      </c>
      <c r="M288" s="39" t="str">
        <f t="shared" si="19"/>
        <v>0</v>
      </c>
      <c r="N288" s="39" t="str">
        <f t="shared" si="20"/>
        <v xml:space="preserve"> ()</v>
      </c>
    </row>
    <row r="289" spans="1:14" x14ac:dyDescent="0.3">
      <c r="A289" s="34"/>
      <c r="B289" s="38"/>
      <c r="C289" s="34"/>
      <c r="D289" s="21"/>
      <c r="E289" s="21"/>
      <c r="G289" s="21"/>
      <c r="H289" s="21"/>
      <c r="I289" s="34"/>
      <c r="J289" s="34"/>
      <c r="K289" s="39">
        <f>VLOOKUP(A289,OPTIONS!A:C,3,FALSE)*G289</f>
        <v>0</v>
      </c>
      <c r="L289" s="39" t="str">
        <f t="shared" si="18"/>
        <v/>
      </c>
      <c r="M289" s="39" t="str">
        <f t="shared" si="19"/>
        <v>0</v>
      </c>
      <c r="N289" s="39" t="str">
        <f t="shared" si="20"/>
        <v xml:space="preserve"> ()</v>
      </c>
    </row>
    <row r="290" spans="1:14" x14ac:dyDescent="0.3">
      <c r="A290" s="34"/>
      <c r="B290" s="38"/>
      <c r="C290" s="34"/>
      <c r="D290" s="21"/>
      <c r="E290" s="21"/>
      <c r="G290" s="21"/>
      <c r="H290" s="21"/>
      <c r="I290" s="34"/>
      <c r="J290" s="34"/>
      <c r="K290" s="39">
        <f>VLOOKUP(A290,OPTIONS!A:C,3,FALSE)*G290</f>
        <v>0</v>
      </c>
      <c r="L290" s="39" t="str">
        <f t="shared" si="18"/>
        <v/>
      </c>
      <c r="M290" s="39" t="str">
        <f t="shared" si="19"/>
        <v>0</v>
      </c>
      <c r="N290" s="39" t="str">
        <f t="shared" si="20"/>
        <v xml:space="preserve"> ()</v>
      </c>
    </row>
    <row r="291" spans="1:14" x14ac:dyDescent="0.3">
      <c r="A291" s="34"/>
      <c r="B291" s="38"/>
      <c r="C291" s="34"/>
      <c r="D291" s="21"/>
      <c r="E291" s="21"/>
      <c r="G291" s="21"/>
      <c r="H291" s="21"/>
      <c r="I291" s="34"/>
      <c r="J291" s="34"/>
      <c r="K291" s="39">
        <f>VLOOKUP(A291,OPTIONS!A:C,3,FALSE)*G291</f>
        <v>0</v>
      </c>
      <c r="L291" s="39" t="str">
        <f t="shared" si="18"/>
        <v/>
      </c>
      <c r="M291" s="39" t="str">
        <f t="shared" si="19"/>
        <v>0</v>
      </c>
      <c r="N291" s="39" t="str">
        <f t="shared" si="20"/>
        <v xml:space="preserve"> ()</v>
      </c>
    </row>
    <row r="292" spans="1:14" x14ac:dyDescent="0.3">
      <c r="A292" s="34"/>
      <c r="B292" s="38"/>
      <c r="C292" s="34"/>
      <c r="D292" s="21"/>
      <c r="E292" s="21"/>
      <c r="G292" s="21"/>
      <c r="H292" s="21"/>
      <c r="I292" s="34"/>
      <c r="J292" s="34"/>
      <c r="K292" s="39">
        <f>VLOOKUP(A292,OPTIONS!A:C,3,FALSE)*G292</f>
        <v>0</v>
      </c>
      <c r="L292" s="39" t="str">
        <f t="shared" si="18"/>
        <v/>
      </c>
      <c r="M292" s="39" t="str">
        <f t="shared" si="19"/>
        <v>0</v>
      </c>
      <c r="N292" s="39" t="str">
        <f t="shared" si="20"/>
        <v xml:space="preserve"> ()</v>
      </c>
    </row>
    <row r="293" spans="1:14" x14ac:dyDescent="0.3">
      <c r="A293" s="34"/>
      <c r="B293" s="38"/>
      <c r="C293" s="34"/>
      <c r="D293" s="21"/>
      <c r="E293" s="21"/>
      <c r="G293" s="21"/>
      <c r="H293" s="21"/>
      <c r="I293" s="34"/>
      <c r="J293" s="34"/>
      <c r="K293" s="39">
        <f>VLOOKUP(A293,OPTIONS!A:C,3,FALSE)*G293</f>
        <v>0</v>
      </c>
      <c r="L293" s="39" t="str">
        <f t="shared" si="18"/>
        <v/>
      </c>
      <c r="M293" s="39" t="str">
        <f t="shared" si="19"/>
        <v>0</v>
      </c>
      <c r="N293" s="39" t="str">
        <f t="shared" si="20"/>
        <v xml:space="preserve"> ()</v>
      </c>
    </row>
    <row r="294" spans="1:14" x14ac:dyDescent="0.3">
      <c r="A294" s="34"/>
      <c r="B294" s="38"/>
      <c r="C294" s="34"/>
      <c r="D294" s="21"/>
      <c r="E294" s="21"/>
      <c r="G294" s="21"/>
      <c r="H294" s="21"/>
      <c r="I294" s="34"/>
      <c r="J294" s="34"/>
      <c r="K294" s="39">
        <f>VLOOKUP(A294,OPTIONS!A:C,3,FALSE)*G294</f>
        <v>0</v>
      </c>
      <c r="L294" s="39" t="str">
        <f t="shared" si="18"/>
        <v/>
      </c>
      <c r="M294" s="39" t="str">
        <f t="shared" si="19"/>
        <v>0</v>
      </c>
      <c r="N294" s="39" t="str">
        <f t="shared" si="20"/>
        <v xml:space="preserve"> ()</v>
      </c>
    </row>
    <row r="295" spans="1:14" x14ac:dyDescent="0.3">
      <c r="A295" s="34"/>
      <c r="B295" s="38"/>
      <c r="C295" s="34"/>
      <c r="D295" s="21"/>
      <c r="E295" s="21"/>
      <c r="G295" s="21"/>
      <c r="H295" s="21"/>
      <c r="I295" s="34"/>
      <c r="J295" s="34"/>
      <c r="K295" s="39">
        <f>VLOOKUP(A295,OPTIONS!A:C,3,FALSE)*G295</f>
        <v>0</v>
      </c>
      <c r="L295" s="39" t="str">
        <f t="shared" si="18"/>
        <v/>
      </c>
      <c r="M295" s="39" t="str">
        <f t="shared" si="19"/>
        <v>0</v>
      </c>
      <c r="N295" s="39" t="str">
        <f t="shared" si="20"/>
        <v xml:space="preserve"> ()</v>
      </c>
    </row>
    <row r="296" spans="1:14" x14ac:dyDescent="0.3">
      <c r="A296" s="34"/>
      <c r="B296" s="38"/>
      <c r="C296" s="34"/>
      <c r="D296" s="21"/>
      <c r="E296" s="21"/>
      <c r="G296" s="21"/>
      <c r="H296" s="21"/>
      <c r="I296" s="34"/>
      <c r="J296" s="34"/>
      <c r="K296" s="39">
        <f>VLOOKUP(A296,OPTIONS!A:C,3,FALSE)*G296</f>
        <v>0</v>
      </c>
      <c r="L296" s="39" t="str">
        <f t="shared" si="18"/>
        <v/>
      </c>
      <c r="M296" s="39" t="str">
        <f t="shared" si="19"/>
        <v>0</v>
      </c>
      <c r="N296" s="39" t="str">
        <f t="shared" si="20"/>
        <v xml:space="preserve"> ()</v>
      </c>
    </row>
    <row r="297" spans="1:14" x14ac:dyDescent="0.3">
      <c r="A297" s="34"/>
      <c r="B297" s="38"/>
      <c r="C297" s="34"/>
      <c r="D297" s="21"/>
      <c r="E297" s="21"/>
      <c r="G297" s="21"/>
      <c r="H297" s="21"/>
      <c r="I297" s="34"/>
      <c r="J297" s="34"/>
      <c r="K297" s="39">
        <f>VLOOKUP(A297,OPTIONS!A:C,3,FALSE)*G297</f>
        <v>0</v>
      </c>
      <c r="L297" s="39" t="str">
        <f t="shared" si="18"/>
        <v/>
      </c>
      <c r="M297" s="39" t="str">
        <f t="shared" si="19"/>
        <v>0</v>
      </c>
      <c r="N297" s="39" t="str">
        <f t="shared" si="20"/>
        <v xml:space="preserve"> ()</v>
      </c>
    </row>
    <row r="298" spans="1:14" x14ac:dyDescent="0.3">
      <c r="A298" s="34"/>
      <c r="B298" s="38"/>
      <c r="C298" s="34"/>
      <c r="D298" s="21"/>
      <c r="E298" s="21"/>
      <c r="G298" s="21"/>
      <c r="H298" s="21"/>
      <c r="I298" s="34"/>
      <c r="J298" s="34"/>
      <c r="K298" s="39">
        <f>VLOOKUP(A298,OPTIONS!A:C,3,FALSE)*G298</f>
        <v>0</v>
      </c>
      <c r="L298" s="39" t="str">
        <f t="shared" si="18"/>
        <v/>
      </c>
      <c r="M298" s="39" t="str">
        <f t="shared" si="19"/>
        <v>0</v>
      </c>
      <c r="N298" s="39" t="str">
        <f t="shared" si="20"/>
        <v xml:space="preserve"> ()</v>
      </c>
    </row>
    <row r="299" spans="1:14" x14ac:dyDescent="0.3">
      <c r="A299" s="34"/>
      <c r="B299" s="38"/>
      <c r="C299" s="34"/>
      <c r="D299" s="21"/>
      <c r="E299" s="21"/>
      <c r="G299" s="21"/>
      <c r="H299" s="21"/>
      <c r="I299" s="34"/>
      <c r="J299" s="34"/>
      <c r="K299" s="39">
        <f>VLOOKUP(A299,OPTIONS!A:C,3,FALSE)*G299</f>
        <v>0</v>
      </c>
      <c r="L299" s="39" t="str">
        <f t="shared" si="18"/>
        <v/>
      </c>
      <c r="M299" s="39" t="str">
        <f t="shared" si="19"/>
        <v>0</v>
      </c>
      <c r="N299" s="39" t="str">
        <f t="shared" si="20"/>
        <v xml:space="preserve"> ()</v>
      </c>
    </row>
    <row r="300" spans="1:14" x14ac:dyDescent="0.3">
      <c r="A300" s="34"/>
      <c r="B300" s="38"/>
      <c r="C300" s="34"/>
      <c r="D300" s="21"/>
      <c r="E300" s="21"/>
      <c r="G300" s="21"/>
      <c r="H300" s="21"/>
      <c r="I300" s="34"/>
      <c r="J300" s="34"/>
      <c r="K300" s="39">
        <f>VLOOKUP(A300,OPTIONS!A:C,3,FALSE)*G300</f>
        <v>0</v>
      </c>
      <c r="L300" s="39" t="str">
        <f t="shared" si="18"/>
        <v/>
      </c>
      <c r="M300" s="39" t="str">
        <f t="shared" si="19"/>
        <v>0</v>
      </c>
      <c r="N300" s="39" t="str">
        <f t="shared" si="20"/>
        <v xml:space="preserve"> ()</v>
      </c>
    </row>
    <row r="301" spans="1:14" x14ac:dyDescent="0.3">
      <c r="A301" s="34"/>
      <c r="B301" s="38"/>
      <c r="C301" s="34"/>
      <c r="D301" s="21"/>
      <c r="E301" s="21"/>
      <c r="G301" s="21"/>
      <c r="H301" s="21"/>
      <c r="I301" s="34"/>
      <c r="J301" s="34"/>
      <c r="K301" s="39">
        <f>VLOOKUP(A301,OPTIONS!A:C,3,FALSE)*G301</f>
        <v>0</v>
      </c>
      <c r="L301" s="39" t="str">
        <f t="shared" si="18"/>
        <v/>
      </c>
      <c r="M301" s="39" t="str">
        <f t="shared" si="19"/>
        <v>0</v>
      </c>
      <c r="N301" s="39" t="str">
        <f t="shared" si="20"/>
        <v xml:space="preserve"> ()</v>
      </c>
    </row>
    <row r="302" spans="1:14" x14ac:dyDescent="0.3">
      <c r="A302" s="34"/>
      <c r="B302" s="38"/>
      <c r="C302" s="34"/>
      <c r="D302" s="21"/>
      <c r="E302" s="21"/>
      <c r="G302" s="21"/>
      <c r="H302" s="21"/>
      <c r="I302" s="34"/>
      <c r="J302" s="34"/>
      <c r="K302" s="39">
        <f>VLOOKUP(A302,OPTIONS!A:C,3,FALSE)*G302</f>
        <v>0</v>
      </c>
      <c r="L302" s="39" t="str">
        <f t="shared" si="18"/>
        <v/>
      </c>
      <c r="M302" s="39" t="str">
        <f t="shared" si="19"/>
        <v>0</v>
      </c>
      <c r="N302" s="39" t="str">
        <f t="shared" si="20"/>
        <v xml:space="preserve"> ()</v>
      </c>
    </row>
    <row r="303" spans="1:14" x14ac:dyDescent="0.3">
      <c r="A303" s="34"/>
      <c r="B303" s="38"/>
      <c r="C303" s="34"/>
      <c r="D303" s="21"/>
      <c r="E303" s="21"/>
      <c r="G303" s="21"/>
      <c r="H303" s="21"/>
      <c r="I303" s="34"/>
      <c r="J303" s="34"/>
      <c r="K303" s="39">
        <f>VLOOKUP(A303,OPTIONS!A:C,3,FALSE)*G303</f>
        <v>0</v>
      </c>
      <c r="L303" s="39" t="str">
        <f t="shared" si="18"/>
        <v/>
      </c>
      <c r="M303" s="39" t="str">
        <f t="shared" si="19"/>
        <v>0</v>
      </c>
      <c r="N303" s="39" t="str">
        <f t="shared" si="20"/>
        <v xml:space="preserve"> ()</v>
      </c>
    </row>
    <row r="304" spans="1:14" x14ac:dyDescent="0.3">
      <c r="A304" s="34"/>
      <c r="B304" s="38"/>
      <c r="C304" s="34"/>
      <c r="D304" s="21"/>
      <c r="E304" s="21"/>
      <c r="G304" s="21"/>
      <c r="H304" s="21"/>
      <c r="I304" s="34"/>
      <c r="J304" s="34"/>
      <c r="K304" s="39">
        <f>VLOOKUP(A304,OPTIONS!A:C,3,FALSE)*G304</f>
        <v>0</v>
      </c>
      <c r="L304" s="39" t="str">
        <f t="shared" si="18"/>
        <v/>
      </c>
      <c r="M304" s="39" t="str">
        <f t="shared" si="19"/>
        <v>0</v>
      </c>
      <c r="N304" s="39" t="str">
        <f t="shared" si="20"/>
        <v xml:space="preserve"> ()</v>
      </c>
    </row>
    <row r="305" spans="1:14" x14ac:dyDescent="0.3">
      <c r="A305" s="34"/>
      <c r="B305" s="38"/>
      <c r="C305" s="34"/>
      <c r="D305" s="21"/>
      <c r="E305" s="21"/>
      <c r="G305" s="21"/>
      <c r="H305" s="21"/>
      <c r="I305" s="34"/>
      <c r="J305" s="34"/>
      <c r="K305" s="39">
        <f>VLOOKUP(A305,OPTIONS!A:C,3,FALSE)*G305</f>
        <v>0</v>
      </c>
      <c r="L305" s="39" t="str">
        <f t="shared" si="18"/>
        <v/>
      </c>
      <c r="M305" s="39" t="str">
        <f t="shared" si="19"/>
        <v>0</v>
      </c>
      <c r="N305" s="39" t="str">
        <f t="shared" si="20"/>
        <v xml:space="preserve"> ()</v>
      </c>
    </row>
    <row r="306" spans="1:14" x14ac:dyDescent="0.3">
      <c r="A306" s="34"/>
      <c r="B306" s="38"/>
      <c r="C306" s="34"/>
      <c r="D306" s="21"/>
      <c r="E306" s="21"/>
      <c r="G306" s="21"/>
      <c r="H306" s="21"/>
      <c r="I306" s="34"/>
      <c r="J306" s="34"/>
      <c r="K306" s="39">
        <f>VLOOKUP(A306,OPTIONS!A:C,3,FALSE)*G306</f>
        <v>0</v>
      </c>
      <c r="L306" s="39" t="str">
        <f t="shared" si="18"/>
        <v/>
      </c>
      <c r="M306" s="39" t="str">
        <f t="shared" si="19"/>
        <v>0</v>
      </c>
      <c r="N306" s="39" t="str">
        <f t="shared" si="20"/>
        <v xml:space="preserve"> ()</v>
      </c>
    </row>
    <row r="307" spans="1:14" x14ac:dyDescent="0.3">
      <c r="A307" s="34"/>
      <c r="B307" s="38"/>
      <c r="C307" s="34"/>
      <c r="D307" s="21"/>
      <c r="E307" s="21"/>
      <c r="G307" s="21"/>
      <c r="H307" s="21"/>
      <c r="I307" s="34"/>
      <c r="J307" s="34"/>
      <c r="K307" s="39">
        <f>VLOOKUP(A307,OPTIONS!A:C,3,FALSE)*G307</f>
        <v>0</v>
      </c>
      <c r="L307" s="39" t="str">
        <f t="shared" si="18"/>
        <v/>
      </c>
      <c r="M307" s="39" t="str">
        <f t="shared" si="19"/>
        <v>0</v>
      </c>
      <c r="N307" s="39" t="str">
        <f t="shared" si="20"/>
        <v xml:space="preserve"> ()</v>
      </c>
    </row>
    <row r="308" spans="1:14" x14ac:dyDescent="0.3">
      <c r="A308" s="34"/>
      <c r="B308" s="38"/>
      <c r="C308" s="34"/>
      <c r="D308" s="21"/>
      <c r="E308" s="21"/>
      <c r="G308" s="21"/>
      <c r="H308" s="21"/>
      <c r="I308" s="34"/>
      <c r="J308" s="34"/>
      <c r="K308" s="39">
        <f>VLOOKUP(A308,OPTIONS!A:C,3,FALSE)*G308</f>
        <v>0</v>
      </c>
      <c r="L308" s="39" t="str">
        <f t="shared" si="18"/>
        <v/>
      </c>
      <c r="M308" s="39" t="str">
        <f t="shared" si="19"/>
        <v>0</v>
      </c>
      <c r="N308" s="39" t="str">
        <f t="shared" si="20"/>
        <v xml:space="preserve"> ()</v>
      </c>
    </row>
    <row r="309" spans="1:14" x14ac:dyDescent="0.3">
      <c r="A309" s="34"/>
      <c r="B309" s="38"/>
      <c r="C309" s="34"/>
      <c r="D309" s="21"/>
      <c r="E309" s="21"/>
      <c r="G309" s="21"/>
      <c r="H309" s="21"/>
      <c r="I309" s="34"/>
      <c r="J309" s="34"/>
      <c r="K309" s="39">
        <f>VLOOKUP(A309,OPTIONS!A:C,3,FALSE)*G309</f>
        <v>0</v>
      </c>
      <c r="L309" s="39" t="str">
        <f t="shared" si="18"/>
        <v/>
      </c>
      <c r="M309" s="39" t="str">
        <f t="shared" si="19"/>
        <v>0</v>
      </c>
      <c r="N309" s="39" t="str">
        <f t="shared" si="20"/>
        <v xml:space="preserve"> ()</v>
      </c>
    </row>
    <row r="310" spans="1:14" x14ac:dyDescent="0.3">
      <c r="A310" s="34"/>
      <c r="B310" s="38"/>
      <c r="C310" s="34"/>
      <c r="D310" s="21"/>
      <c r="E310" s="21"/>
      <c r="G310" s="21"/>
      <c r="H310" s="21"/>
      <c r="I310" s="34"/>
      <c r="J310" s="34"/>
      <c r="K310" s="39">
        <f>VLOOKUP(A310,OPTIONS!A:C,3,FALSE)*G310</f>
        <v>0</v>
      </c>
      <c r="L310" s="39" t="str">
        <f t="shared" si="18"/>
        <v/>
      </c>
      <c r="M310" s="39" t="str">
        <f t="shared" si="19"/>
        <v>0</v>
      </c>
      <c r="N310" s="39" t="str">
        <f t="shared" si="20"/>
        <v xml:space="preserve"> ()</v>
      </c>
    </row>
    <row r="311" spans="1:14" x14ac:dyDescent="0.3">
      <c r="A311" s="34"/>
      <c r="B311" s="38"/>
      <c r="C311" s="34"/>
      <c r="D311" s="21"/>
      <c r="E311" s="21"/>
      <c r="G311" s="21"/>
      <c r="H311" s="21"/>
      <c r="I311" s="34"/>
      <c r="J311" s="34"/>
      <c r="K311" s="39">
        <f>VLOOKUP(A311,OPTIONS!A:C,3,FALSE)*G311</f>
        <v>0</v>
      </c>
      <c r="L311" s="39" t="str">
        <f t="shared" si="18"/>
        <v/>
      </c>
      <c r="M311" s="39" t="str">
        <f t="shared" si="19"/>
        <v>0</v>
      </c>
      <c r="N311" s="39" t="str">
        <f t="shared" si="20"/>
        <v xml:space="preserve"> ()</v>
      </c>
    </row>
    <row r="312" spans="1:14" x14ac:dyDescent="0.3">
      <c r="A312" s="34"/>
      <c r="B312" s="38"/>
      <c r="C312" s="34"/>
      <c r="D312" s="21"/>
      <c r="E312" s="21"/>
      <c r="G312" s="21"/>
      <c r="H312" s="21"/>
      <c r="I312" s="34"/>
      <c r="J312" s="34"/>
      <c r="K312" s="39">
        <f>VLOOKUP(A312,OPTIONS!A:C,3,FALSE)*G312</f>
        <v>0</v>
      </c>
      <c r="L312" s="39" t="str">
        <f t="shared" si="18"/>
        <v/>
      </c>
      <c r="M312" s="39" t="str">
        <f t="shared" si="19"/>
        <v>0</v>
      </c>
      <c r="N312" s="39" t="str">
        <f t="shared" si="20"/>
        <v xml:space="preserve"> ()</v>
      </c>
    </row>
    <row r="313" spans="1:14" x14ac:dyDescent="0.3">
      <c r="A313" s="34"/>
      <c r="B313" s="38"/>
      <c r="C313" s="34"/>
      <c r="D313" s="21"/>
      <c r="E313" s="21"/>
      <c r="G313" s="21"/>
      <c r="H313" s="21"/>
      <c r="I313" s="34"/>
      <c r="J313" s="34"/>
      <c r="K313" s="39">
        <f>VLOOKUP(A313,OPTIONS!A:C,3,FALSE)*G313</f>
        <v>0</v>
      </c>
      <c r="L313" s="39" t="str">
        <f t="shared" si="18"/>
        <v/>
      </c>
      <c r="M313" s="39" t="str">
        <f t="shared" si="19"/>
        <v>0</v>
      </c>
      <c r="N313" s="39" t="str">
        <f t="shared" si="20"/>
        <v xml:space="preserve"> ()</v>
      </c>
    </row>
    <row r="314" spans="1:14" x14ac:dyDescent="0.3">
      <c r="A314" s="34"/>
      <c r="B314" s="38"/>
      <c r="C314" s="34"/>
      <c r="D314" s="21"/>
      <c r="E314" s="21"/>
      <c r="G314" s="21"/>
      <c r="H314" s="21"/>
      <c r="I314" s="34"/>
      <c r="J314" s="34"/>
      <c r="K314" s="39">
        <f>VLOOKUP(A314,OPTIONS!A:C,3,FALSE)*G314</f>
        <v>0</v>
      </c>
      <c r="L314" s="39" t="str">
        <f t="shared" si="18"/>
        <v/>
      </c>
      <c r="M314" s="39" t="str">
        <f t="shared" si="19"/>
        <v>0</v>
      </c>
      <c r="N314" s="39" t="str">
        <f t="shared" si="20"/>
        <v xml:space="preserve"> ()</v>
      </c>
    </row>
    <row r="315" spans="1:14" x14ac:dyDescent="0.3">
      <c r="A315" s="34"/>
      <c r="B315" s="38"/>
      <c r="C315" s="34"/>
      <c r="D315" s="21"/>
      <c r="E315" s="21"/>
      <c r="G315" s="21"/>
      <c r="H315" s="21"/>
      <c r="I315" s="34"/>
      <c r="J315" s="34"/>
      <c r="K315" s="39">
        <f>VLOOKUP(A315,OPTIONS!A:C,3,FALSE)*G315</f>
        <v>0</v>
      </c>
      <c r="L315" s="39" t="str">
        <f t="shared" si="18"/>
        <v/>
      </c>
      <c r="M315" s="39" t="str">
        <f t="shared" si="19"/>
        <v>0</v>
      </c>
      <c r="N315" s="39" t="str">
        <f t="shared" si="20"/>
        <v xml:space="preserve"> ()</v>
      </c>
    </row>
    <row r="316" spans="1:14" x14ac:dyDescent="0.3">
      <c r="A316" s="34"/>
      <c r="B316" s="38"/>
      <c r="C316" s="34"/>
      <c r="D316" s="21"/>
      <c r="E316" s="21"/>
      <c r="G316" s="21"/>
      <c r="H316" s="21"/>
      <c r="I316" s="34"/>
      <c r="J316" s="34"/>
      <c r="K316" s="39">
        <f>VLOOKUP(A316,OPTIONS!A:C,3,FALSE)*G316</f>
        <v>0</v>
      </c>
      <c r="L316" s="39" t="str">
        <f t="shared" si="18"/>
        <v/>
      </c>
      <c r="M316" s="39" t="str">
        <f t="shared" si="19"/>
        <v>0</v>
      </c>
      <c r="N316" s="39" t="str">
        <f t="shared" si="20"/>
        <v xml:space="preserve"> ()</v>
      </c>
    </row>
    <row r="317" spans="1:14" x14ac:dyDescent="0.3">
      <c r="A317" s="34"/>
      <c r="B317" s="38"/>
      <c r="C317" s="34"/>
      <c r="D317" s="21"/>
      <c r="E317" s="21"/>
      <c r="G317" s="21"/>
      <c r="H317" s="21"/>
      <c r="I317" s="34"/>
      <c r="J317" s="34"/>
      <c r="K317" s="39">
        <f>VLOOKUP(A317,OPTIONS!A:C,3,FALSE)*G317</f>
        <v>0</v>
      </c>
      <c r="L317" s="39" t="str">
        <f t="shared" si="18"/>
        <v/>
      </c>
      <c r="M317" s="39" t="str">
        <f t="shared" si="19"/>
        <v>0</v>
      </c>
      <c r="N317" s="39" t="str">
        <f t="shared" si="20"/>
        <v xml:space="preserve"> ()</v>
      </c>
    </row>
    <row r="318" spans="1:14" x14ac:dyDescent="0.3">
      <c r="A318" s="34"/>
      <c r="B318" s="38"/>
      <c r="C318" s="34"/>
      <c r="D318" s="21"/>
      <c r="E318" s="21"/>
      <c r="G318" s="21"/>
      <c r="H318" s="21"/>
      <c r="I318" s="34"/>
      <c r="J318" s="34"/>
      <c r="K318" s="39">
        <f>VLOOKUP(A318,OPTIONS!A:C,3,FALSE)*G318</f>
        <v>0</v>
      </c>
      <c r="L318" s="39" t="str">
        <f t="shared" si="18"/>
        <v/>
      </c>
      <c r="M318" s="39" t="str">
        <f t="shared" si="19"/>
        <v>0</v>
      </c>
      <c r="N318" s="39" t="str">
        <f t="shared" si="20"/>
        <v xml:space="preserve"> ()</v>
      </c>
    </row>
    <row r="319" spans="1:14" x14ac:dyDescent="0.3">
      <c r="A319" s="34"/>
      <c r="B319" s="38"/>
      <c r="C319" s="34"/>
      <c r="D319" s="21"/>
      <c r="E319" s="21"/>
      <c r="G319" s="21"/>
      <c r="H319" s="21"/>
      <c r="I319" s="34"/>
      <c r="J319" s="34"/>
      <c r="K319" s="39">
        <f>VLOOKUP(A319,OPTIONS!A:C,3,FALSE)*G319</f>
        <v>0</v>
      </c>
      <c r="L319" s="39" t="str">
        <f t="shared" si="18"/>
        <v/>
      </c>
      <c r="M319" s="39" t="str">
        <f t="shared" si="19"/>
        <v>0</v>
      </c>
      <c r="N319" s="39" t="str">
        <f t="shared" si="20"/>
        <v xml:space="preserve"> ()</v>
      </c>
    </row>
    <row r="320" spans="1:14" x14ac:dyDescent="0.3">
      <c r="A320" s="34"/>
      <c r="B320" s="38"/>
      <c r="C320" s="34"/>
      <c r="D320" s="21"/>
      <c r="E320" s="21"/>
      <c r="G320" s="21"/>
      <c r="H320" s="21"/>
      <c r="I320" s="34"/>
      <c r="J320" s="34"/>
      <c r="K320" s="39">
        <f>VLOOKUP(A320,OPTIONS!A:C,3,FALSE)*G320</f>
        <v>0</v>
      </c>
      <c r="L320" s="39" t="str">
        <f t="shared" si="18"/>
        <v/>
      </c>
      <c r="M320" s="39" t="str">
        <f t="shared" si="19"/>
        <v>0</v>
      </c>
      <c r="N320" s="39" t="str">
        <f t="shared" si="20"/>
        <v xml:space="preserve"> ()</v>
      </c>
    </row>
    <row r="321" spans="1:14" x14ac:dyDescent="0.3">
      <c r="A321" s="34"/>
      <c r="B321" s="38"/>
      <c r="C321" s="34"/>
      <c r="D321" s="21"/>
      <c r="E321" s="21"/>
      <c r="G321" s="21"/>
      <c r="H321" s="21"/>
      <c r="I321" s="34"/>
      <c r="J321" s="34"/>
      <c r="K321" s="39">
        <f>VLOOKUP(A321,OPTIONS!A:C,3,FALSE)*G321</f>
        <v>0</v>
      </c>
      <c r="L321" s="39" t="str">
        <f t="shared" si="18"/>
        <v/>
      </c>
      <c r="M321" s="39" t="str">
        <f t="shared" si="19"/>
        <v>0</v>
      </c>
      <c r="N321" s="39" t="str">
        <f t="shared" si="20"/>
        <v xml:space="preserve"> ()</v>
      </c>
    </row>
    <row r="322" spans="1:14" x14ac:dyDescent="0.3">
      <c r="A322" s="34"/>
      <c r="B322" s="38"/>
      <c r="C322" s="34"/>
      <c r="D322" s="21"/>
      <c r="E322" s="21"/>
      <c r="G322" s="21"/>
      <c r="H322" s="21"/>
      <c r="I322" s="34"/>
      <c r="J322" s="34"/>
      <c r="K322" s="39">
        <f>VLOOKUP(A322,OPTIONS!A:C,3,FALSE)*G322</f>
        <v>0</v>
      </c>
      <c r="L322" s="39" t="str">
        <f t="shared" si="18"/>
        <v/>
      </c>
      <c r="M322" s="39" t="str">
        <f t="shared" si="19"/>
        <v>0</v>
      </c>
      <c r="N322" s="39" t="str">
        <f t="shared" si="20"/>
        <v xml:space="preserve"> ()</v>
      </c>
    </row>
    <row r="323" spans="1:14" x14ac:dyDescent="0.3">
      <c r="A323" s="34"/>
      <c r="B323" s="38"/>
      <c r="C323" s="34"/>
      <c r="D323" s="21"/>
      <c r="E323" s="21"/>
      <c r="G323" s="21"/>
      <c r="H323" s="21"/>
      <c r="I323" s="34"/>
      <c r="J323" s="34"/>
      <c r="K323" s="39">
        <f>VLOOKUP(A323,OPTIONS!A:C,3,FALSE)*G323</f>
        <v>0</v>
      </c>
      <c r="L323" s="39" t="str">
        <f t="shared" si="18"/>
        <v/>
      </c>
      <c r="M323" s="39" t="str">
        <f t="shared" si="19"/>
        <v>0</v>
      </c>
      <c r="N323" s="39" t="str">
        <f t="shared" si="20"/>
        <v xml:space="preserve"> ()</v>
      </c>
    </row>
    <row r="324" spans="1:14" x14ac:dyDescent="0.3">
      <c r="A324" s="34"/>
      <c r="B324" s="38"/>
      <c r="C324" s="34"/>
      <c r="D324" s="21"/>
      <c r="E324" s="21"/>
      <c r="G324" s="21"/>
      <c r="H324" s="21"/>
      <c r="I324" s="34"/>
      <c r="J324" s="34"/>
      <c r="K324" s="39">
        <f>VLOOKUP(A324,OPTIONS!A:C,3,FALSE)*G324</f>
        <v>0</v>
      </c>
      <c r="L324" s="39" t="str">
        <f t="shared" si="18"/>
        <v/>
      </c>
      <c r="M324" s="39" t="str">
        <f t="shared" si="19"/>
        <v>0</v>
      </c>
      <c r="N324" s="39" t="str">
        <f t="shared" si="20"/>
        <v xml:space="preserve"> ()</v>
      </c>
    </row>
    <row r="325" spans="1:14" x14ac:dyDescent="0.3">
      <c r="A325" s="34"/>
      <c r="B325" s="38"/>
      <c r="C325" s="34"/>
      <c r="D325" s="21"/>
      <c r="E325" s="21"/>
      <c r="G325" s="21"/>
      <c r="H325" s="21"/>
      <c r="I325" s="34"/>
      <c r="J325" s="34"/>
      <c r="K325" s="39">
        <f>VLOOKUP(A325,OPTIONS!A:C,3,FALSE)*G325</f>
        <v>0</v>
      </c>
      <c r="L325" s="39" t="str">
        <f t="shared" si="18"/>
        <v/>
      </c>
      <c r="M325" s="39" t="str">
        <f t="shared" si="19"/>
        <v>0</v>
      </c>
      <c r="N325" s="39" t="str">
        <f t="shared" si="20"/>
        <v xml:space="preserve"> ()</v>
      </c>
    </row>
    <row r="326" spans="1:14" x14ac:dyDescent="0.3">
      <c r="A326" s="34"/>
      <c r="B326" s="38"/>
      <c r="C326" s="34"/>
      <c r="D326" s="21"/>
      <c r="E326" s="21"/>
      <c r="G326" s="21"/>
      <c r="H326" s="21"/>
      <c r="I326" s="34"/>
      <c r="J326" s="34"/>
      <c r="K326" s="39">
        <f>VLOOKUP(A326,OPTIONS!A:C,3,FALSE)*G326</f>
        <v>0</v>
      </c>
      <c r="L326" s="39" t="str">
        <f t="shared" si="18"/>
        <v/>
      </c>
      <c r="M326" s="39" t="str">
        <f t="shared" si="19"/>
        <v>0</v>
      </c>
      <c r="N326" s="39" t="str">
        <f t="shared" si="20"/>
        <v xml:space="preserve"> ()</v>
      </c>
    </row>
    <row r="327" spans="1:14" x14ac:dyDescent="0.3">
      <c r="A327" s="34"/>
      <c r="B327" s="38"/>
      <c r="C327" s="34"/>
      <c r="D327" s="21"/>
      <c r="E327" s="21"/>
      <c r="G327" s="21"/>
      <c r="H327" s="21"/>
      <c r="I327" s="34"/>
      <c r="J327" s="34"/>
      <c r="K327" s="39">
        <f>VLOOKUP(A327,OPTIONS!A:C,3,FALSE)*G327</f>
        <v>0</v>
      </c>
      <c r="L327" s="39" t="str">
        <f t="shared" si="18"/>
        <v/>
      </c>
      <c r="M327" s="39" t="str">
        <f t="shared" si="19"/>
        <v>0</v>
      </c>
      <c r="N327" s="39" t="str">
        <f t="shared" si="20"/>
        <v xml:space="preserve"> ()</v>
      </c>
    </row>
    <row r="328" spans="1:14" x14ac:dyDescent="0.3">
      <c r="A328" s="34"/>
      <c r="B328" s="38"/>
      <c r="C328" s="34"/>
      <c r="D328" s="21"/>
      <c r="E328" s="21"/>
      <c r="G328" s="21"/>
      <c r="H328" s="21"/>
      <c r="I328" s="34"/>
      <c r="J328" s="34"/>
      <c r="K328" s="39">
        <f>VLOOKUP(A328,OPTIONS!A:C,3,FALSE)*G328</f>
        <v>0</v>
      </c>
      <c r="L328" s="39" t="str">
        <f t="shared" si="18"/>
        <v/>
      </c>
      <c r="M328" s="39" t="str">
        <f t="shared" si="19"/>
        <v>0</v>
      </c>
      <c r="N328" s="39" t="str">
        <f t="shared" si="20"/>
        <v xml:space="preserve"> ()</v>
      </c>
    </row>
    <row r="329" spans="1:14" x14ac:dyDescent="0.3">
      <c r="A329" s="34"/>
      <c r="B329" s="38"/>
      <c r="C329" s="34"/>
      <c r="D329" s="21"/>
      <c r="E329" s="21"/>
      <c r="G329" s="21"/>
      <c r="H329" s="21"/>
      <c r="I329" s="34"/>
      <c r="J329" s="34"/>
      <c r="K329" s="39">
        <f>VLOOKUP(A329,OPTIONS!A:C,3,FALSE)*G329</f>
        <v>0</v>
      </c>
      <c r="L329" s="39" t="str">
        <f t="shared" si="18"/>
        <v/>
      </c>
      <c r="M329" s="39" t="str">
        <f t="shared" si="19"/>
        <v>0</v>
      </c>
      <c r="N329" s="39" t="str">
        <f t="shared" si="20"/>
        <v xml:space="preserve"> ()</v>
      </c>
    </row>
    <row r="330" spans="1:14" x14ac:dyDescent="0.3">
      <c r="A330" s="34"/>
      <c r="B330" s="38"/>
      <c r="C330" s="34"/>
      <c r="D330" s="21"/>
      <c r="E330" s="21"/>
      <c r="G330" s="21"/>
      <c r="H330" s="21"/>
      <c r="I330" s="34"/>
      <c r="J330" s="34"/>
      <c r="K330" s="39">
        <f>VLOOKUP(A330,OPTIONS!A:C,3,FALSE)*G330</f>
        <v>0</v>
      </c>
      <c r="L330" s="39" t="str">
        <f t="shared" si="18"/>
        <v/>
      </c>
      <c r="M330" s="39" t="str">
        <f t="shared" si="19"/>
        <v>0</v>
      </c>
      <c r="N330" s="39" t="str">
        <f t="shared" si="20"/>
        <v xml:space="preserve"> ()</v>
      </c>
    </row>
    <row r="331" spans="1:14" x14ac:dyDescent="0.3">
      <c r="A331" s="34"/>
      <c r="B331" s="38"/>
      <c r="C331" s="34"/>
      <c r="D331" s="21"/>
      <c r="E331" s="21"/>
      <c r="G331" s="21"/>
      <c r="H331" s="21"/>
      <c r="I331" s="34"/>
      <c r="J331" s="34"/>
      <c r="K331" s="39">
        <f>VLOOKUP(A331,OPTIONS!A:C,3,FALSE)*G331</f>
        <v>0</v>
      </c>
      <c r="L331" s="39" t="str">
        <f t="shared" si="18"/>
        <v/>
      </c>
      <c r="M331" s="39" t="str">
        <f t="shared" si="19"/>
        <v>0</v>
      </c>
      <c r="N331" s="39" t="str">
        <f t="shared" si="20"/>
        <v xml:space="preserve"> ()</v>
      </c>
    </row>
    <row r="332" spans="1:14" x14ac:dyDescent="0.3">
      <c r="A332" s="34"/>
      <c r="B332" s="38"/>
      <c r="C332" s="34"/>
      <c r="D332" s="21"/>
      <c r="E332" s="21"/>
      <c r="G332" s="21"/>
      <c r="H332" s="21"/>
      <c r="I332" s="34"/>
      <c r="J332" s="34"/>
      <c r="K332" s="39">
        <f>VLOOKUP(A332,OPTIONS!A:C,3,FALSE)*G332</f>
        <v>0</v>
      </c>
      <c r="L332" s="39" t="str">
        <f t="shared" si="18"/>
        <v/>
      </c>
      <c r="M332" s="39" t="str">
        <f t="shared" si="19"/>
        <v>0</v>
      </c>
      <c r="N332" s="39" t="str">
        <f t="shared" si="20"/>
        <v xml:space="preserve"> ()</v>
      </c>
    </row>
    <row r="333" spans="1:14" x14ac:dyDescent="0.3">
      <c r="A333" s="34"/>
      <c r="B333" s="38"/>
      <c r="C333" s="34"/>
      <c r="D333" s="21"/>
      <c r="E333" s="21"/>
      <c r="G333" s="21"/>
      <c r="H333" s="21"/>
      <c r="I333" s="34"/>
      <c r="J333" s="34"/>
      <c r="K333" s="39">
        <f>VLOOKUP(A333,OPTIONS!A:C,3,FALSE)*G333</f>
        <v>0</v>
      </c>
      <c r="L333" s="39" t="str">
        <f t="shared" si="18"/>
        <v/>
      </c>
      <c r="M333" s="39" t="str">
        <f t="shared" si="19"/>
        <v>0</v>
      </c>
      <c r="N333" s="39" t="str">
        <f t="shared" si="20"/>
        <v xml:space="preserve"> ()</v>
      </c>
    </row>
    <row r="334" spans="1:14" x14ac:dyDescent="0.3">
      <c r="A334" s="34"/>
      <c r="B334" s="38"/>
      <c r="C334" s="34"/>
      <c r="D334" s="21"/>
      <c r="E334" s="21"/>
      <c r="G334" s="21"/>
      <c r="H334" s="21"/>
      <c r="I334" s="34"/>
      <c r="J334" s="34"/>
      <c r="K334" s="39">
        <f>VLOOKUP(A334,OPTIONS!A:C,3,FALSE)*G334</f>
        <v>0</v>
      </c>
      <c r="L334" s="39" t="str">
        <f t="shared" si="18"/>
        <v/>
      </c>
      <c r="M334" s="39" t="str">
        <f t="shared" si="19"/>
        <v>0</v>
      </c>
      <c r="N334" s="39" t="str">
        <f t="shared" si="20"/>
        <v xml:space="preserve"> ()</v>
      </c>
    </row>
    <row r="335" spans="1:14" x14ac:dyDescent="0.3">
      <c r="A335" s="34"/>
      <c r="B335" s="38"/>
      <c r="C335" s="34"/>
      <c r="D335" s="21"/>
      <c r="E335" s="21"/>
      <c r="G335" s="21"/>
      <c r="H335" s="21"/>
      <c r="I335" s="34"/>
      <c r="J335" s="34"/>
      <c r="K335" s="39">
        <f>VLOOKUP(A335,OPTIONS!A:C,3,FALSE)*G335</f>
        <v>0</v>
      </c>
      <c r="L335" s="39" t="str">
        <f t="shared" si="18"/>
        <v/>
      </c>
      <c r="M335" s="39" t="str">
        <f t="shared" si="19"/>
        <v>0</v>
      </c>
      <c r="N335" s="39" t="str">
        <f t="shared" si="20"/>
        <v xml:space="preserve"> ()</v>
      </c>
    </row>
    <row r="336" spans="1:14" x14ac:dyDescent="0.3">
      <c r="A336" s="34"/>
      <c r="B336" s="38"/>
      <c r="C336" s="34"/>
      <c r="D336" s="21"/>
      <c r="E336" s="21"/>
      <c r="G336" s="21"/>
      <c r="H336" s="21"/>
      <c r="I336" s="34"/>
      <c r="J336" s="34"/>
      <c r="K336" s="39">
        <f>VLOOKUP(A336,OPTIONS!A:C,3,FALSE)*G336</f>
        <v>0</v>
      </c>
      <c r="L336" s="39" t="str">
        <f t="shared" si="18"/>
        <v/>
      </c>
      <c r="M336" s="39" t="str">
        <f t="shared" si="19"/>
        <v>0</v>
      </c>
      <c r="N336" s="39" t="str">
        <f t="shared" si="20"/>
        <v xml:space="preserve"> ()</v>
      </c>
    </row>
    <row r="337" spans="1:14" x14ac:dyDescent="0.3">
      <c r="A337" s="34"/>
      <c r="B337" s="38"/>
      <c r="C337" s="34"/>
      <c r="D337" s="21"/>
      <c r="E337" s="21"/>
      <c r="G337" s="21"/>
      <c r="H337" s="21"/>
      <c r="I337" s="34"/>
      <c r="J337" s="34"/>
      <c r="K337" s="39">
        <f>VLOOKUP(A337,OPTIONS!A:C,3,FALSE)*G337</f>
        <v>0</v>
      </c>
      <c r="L337" s="39" t="str">
        <f t="shared" si="18"/>
        <v/>
      </c>
      <c r="M337" s="39" t="str">
        <f t="shared" si="19"/>
        <v>0</v>
      </c>
      <c r="N337" s="39" t="str">
        <f t="shared" si="20"/>
        <v xml:space="preserve"> ()</v>
      </c>
    </row>
    <row r="338" spans="1:14" x14ac:dyDescent="0.3">
      <c r="A338" s="34"/>
      <c r="B338" s="38"/>
      <c r="C338" s="34"/>
      <c r="D338" s="21"/>
      <c r="E338" s="21"/>
      <c r="G338" s="21"/>
      <c r="H338" s="21"/>
      <c r="I338" s="34"/>
      <c r="J338" s="34"/>
      <c r="K338" s="39">
        <f>VLOOKUP(A338,OPTIONS!A:C,3,FALSE)*G338</f>
        <v>0</v>
      </c>
      <c r="L338" s="39" t="str">
        <f t="shared" si="18"/>
        <v/>
      </c>
      <c r="M338" s="39" t="str">
        <f t="shared" si="19"/>
        <v>0</v>
      </c>
      <c r="N338" s="39" t="str">
        <f t="shared" si="20"/>
        <v xml:space="preserve"> ()</v>
      </c>
    </row>
    <row r="339" spans="1:14" x14ac:dyDescent="0.3">
      <c r="A339" s="34"/>
      <c r="B339" s="38"/>
      <c r="C339" s="34"/>
      <c r="D339" s="21"/>
      <c r="E339" s="21"/>
      <c r="G339" s="21"/>
      <c r="H339" s="21"/>
      <c r="I339" s="34"/>
      <c r="J339" s="34"/>
      <c r="K339" s="39">
        <f>VLOOKUP(A339,OPTIONS!A:C,3,FALSE)*G339</f>
        <v>0</v>
      </c>
      <c r="L339" s="39" t="str">
        <f t="shared" si="18"/>
        <v/>
      </c>
      <c r="M339" s="39" t="str">
        <f t="shared" si="19"/>
        <v>0</v>
      </c>
      <c r="N339" s="39" t="str">
        <f t="shared" si="20"/>
        <v xml:space="preserve"> ()</v>
      </c>
    </row>
    <row r="340" spans="1:14" x14ac:dyDescent="0.3">
      <c r="A340" s="34"/>
      <c r="B340" s="38"/>
      <c r="C340" s="34"/>
      <c r="D340" s="21"/>
      <c r="E340" s="21"/>
      <c r="G340" s="21"/>
      <c r="H340" s="21"/>
      <c r="I340" s="34"/>
      <c r="J340" s="34"/>
      <c r="K340" s="39">
        <f>VLOOKUP(A340,OPTIONS!A:C,3,FALSE)*G340</f>
        <v>0</v>
      </c>
      <c r="L340" s="39" t="str">
        <f t="shared" si="18"/>
        <v/>
      </c>
      <c r="M340" s="39" t="str">
        <f t="shared" si="19"/>
        <v>0</v>
      </c>
      <c r="N340" s="39" t="str">
        <f t="shared" si="20"/>
        <v xml:space="preserve"> ()</v>
      </c>
    </row>
    <row r="341" spans="1:14" x14ac:dyDescent="0.3">
      <c r="A341" s="34"/>
      <c r="B341" s="38"/>
      <c r="C341" s="34"/>
      <c r="D341" s="21"/>
      <c r="E341" s="21"/>
      <c r="G341" s="21"/>
      <c r="H341" s="21"/>
      <c r="I341" s="34"/>
      <c r="J341" s="34"/>
      <c r="K341" s="39">
        <f>VLOOKUP(A341,OPTIONS!A:C,3,FALSE)*G341</f>
        <v>0</v>
      </c>
      <c r="L341" s="39" t="str">
        <f t="shared" si="18"/>
        <v/>
      </c>
      <c r="M341" s="39" t="str">
        <f t="shared" si="19"/>
        <v>0</v>
      </c>
      <c r="N341" s="39" t="str">
        <f t="shared" si="20"/>
        <v xml:space="preserve"> ()</v>
      </c>
    </row>
    <row r="342" spans="1:14" x14ac:dyDescent="0.3">
      <c r="A342" s="34"/>
      <c r="B342" s="38"/>
      <c r="C342" s="34"/>
      <c r="D342" s="21"/>
      <c r="E342" s="21"/>
      <c r="G342" s="21"/>
      <c r="H342" s="21"/>
      <c r="I342" s="34"/>
      <c r="J342" s="34"/>
      <c r="K342" s="39">
        <f>VLOOKUP(A342,OPTIONS!A:C,3,FALSE)*G342</f>
        <v>0</v>
      </c>
      <c r="L342" s="39" t="str">
        <f t="shared" si="18"/>
        <v/>
      </c>
      <c r="M342" s="39" t="str">
        <f t="shared" si="19"/>
        <v>0</v>
      </c>
      <c r="N342" s="39" t="str">
        <f t="shared" si="20"/>
        <v xml:space="preserve"> ()</v>
      </c>
    </row>
    <row r="343" spans="1:14" x14ac:dyDescent="0.3">
      <c r="A343" s="34"/>
      <c r="B343" s="38"/>
      <c r="C343" s="34"/>
      <c r="D343" s="21"/>
      <c r="E343" s="21"/>
      <c r="G343" s="21"/>
      <c r="H343" s="21"/>
      <c r="I343" s="34"/>
      <c r="J343" s="34"/>
      <c r="K343" s="39">
        <f>VLOOKUP(A343,OPTIONS!A:C,3,FALSE)*G343</f>
        <v>0</v>
      </c>
      <c r="L343" s="39" t="str">
        <f t="shared" si="18"/>
        <v/>
      </c>
      <c r="M343" s="39" t="str">
        <f t="shared" si="19"/>
        <v>0</v>
      </c>
      <c r="N343" s="39" t="str">
        <f t="shared" si="20"/>
        <v xml:space="preserve"> ()</v>
      </c>
    </row>
    <row r="344" spans="1:14" x14ac:dyDescent="0.3">
      <c r="A344" s="34"/>
      <c r="B344" s="38"/>
      <c r="C344" s="34"/>
      <c r="D344" s="21"/>
      <c r="E344" s="21"/>
      <c r="G344" s="21"/>
      <c r="H344" s="21"/>
      <c r="I344" s="34"/>
      <c r="J344" s="34"/>
      <c r="K344" s="39">
        <f>VLOOKUP(A344,OPTIONS!A:C,3,FALSE)*G344</f>
        <v>0</v>
      </c>
      <c r="L344" s="39" t="str">
        <f t="shared" si="18"/>
        <v/>
      </c>
      <c r="M344" s="39" t="str">
        <f t="shared" si="19"/>
        <v>0</v>
      </c>
      <c r="N344" s="39" t="str">
        <f t="shared" si="20"/>
        <v xml:space="preserve"> ()</v>
      </c>
    </row>
    <row r="345" spans="1:14" x14ac:dyDescent="0.3">
      <c r="A345" s="34"/>
      <c r="B345" s="38"/>
      <c r="C345" s="34"/>
      <c r="D345" s="21"/>
      <c r="E345" s="21"/>
      <c r="G345" s="21"/>
      <c r="H345" s="21"/>
      <c r="I345" s="34"/>
      <c r="J345" s="34"/>
      <c r="K345" s="39">
        <f>VLOOKUP(A345,OPTIONS!A:C,3,FALSE)*G345</f>
        <v>0</v>
      </c>
      <c r="L345" s="39" t="str">
        <f t="shared" ref="L345:L408" si="21">TRIM(CONCATENATE(G345," ", $H345, " ", $E345))</f>
        <v/>
      </c>
      <c r="M345" s="39" t="str">
        <f t="shared" ref="M345:M408" si="22">TRIM(CONCATENATE(K345," ", $H345, " ", $E345))</f>
        <v>0</v>
      </c>
      <c r="N345" s="39" t="str">
        <f t="shared" ref="N345:N408" si="23">CONCATENATE(E345, " (", TRIM(H345), ")")</f>
        <v xml:space="preserve"> ()</v>
      </c>
    </row>
    <row r="346" spans="1:14" x14ac:dyDescent="0.3">
      <c r="A346" s="34"/>
      <c r="B346" s="38"/>
      <c r="C346" s="34"/>
      <c r="D346" s="21"/>
      <c r="E346" s="21"/>
      <c r="G346" s="21"/>
      <c r="H346" s="21"/>
      <c r="I346" s="34"/>
      <c r="J346" s="34"/>
      <c r="K346" s="39">
        <f>VLOOKUP(A346,OPTIONS!A:C,3,FALSE)*G346</f>
        <v>0</v>
      </c>
      <c r="L346" s="39" t="str">
        <f t="shared" si="21"/>
        <v/>
      </c>
      <c r="M346" s="39" t="str">
        <f t="shared" si="22"/>
        <v>0</v>
      </c>
      <c r="N346" s="39" t="str">
        <f t="shared" si="23"/>
        <v xml:space="preserve"> ()</v>
      </c>
    </row>
    <row r="347" spans="1:14" x14ac:dyDescent="0.3">
      <c r="A347" s="34"/>
      <c r="B347" s="38"/>
      <c r="C347" s="34"/>
      <c r="D347" s="21"/>
      <c r="E347" s="21"/>
      <c r="G347" s="21"/>
      <c r="H347" s="21"/>
      <c r="I347" s="34"/>
      <c r="J347" s="34"/>
      <c r="K347" s="39">
        <f>VLOOKUP(A347,OPTIONS!A:C,3,FALSE)*G347</f>
        <v>0</v>
      </c>
      <c r="L347" s="39" t="str">
        <f t="shared" si="21"/>
        <v/>
      </c>
      <c r="M347" s="39" t="str">
        <f t="shared" si="22"/>
        <v>0</v>
      </c>
      <c r="N347" s="39" t="str">
        <f t="shared" si="23"/>
        <v xml:space="preserve"> ()</v>
      </c>
    </row>
    <row r="348" spans="1:14" x14ac:dyDescent="0.3">
      <c r="A348" s="34"/>
      <c r="B348" s="38"/>
      <c r="C348" s="34"/>
      <c r="D348" s="21"/>
      <c r="E348" s="21"/>
      <c r="G348" s="21"/>
      <c r="H348" s="21"/>
      <c r="I348" s="34"/>
      <c r="J348" s="34"/>
      <c r="K348" s="39">
        <f>VLOOKUP(A348,OPTIONS!A:C,3,FALSE)*G348</f>
        <v>0</v>
      </c>
      <c r="L348" s="39" t="str">
        <f t="shared" si="21"/>
        <v/>
      </c>
      <c r="M348" s="39" t="str">
        <f t="shared" si="22"/>
        <v>0</v>
      </c>
      <c r="N348" s="39" t="str">
        <f t="shared" si="23"/>
        <v xml:space="preserve"> ()</v>
      </c>
    </row>
    <row r="349" spans="1:14" x14ac:dyDescent="0.3">
      <c r="A349" s="34"/>
      <c r="B349" s="38"/>
      <c r="C349" s="34"/>
      <c r="D349" s="21"/>
      <c r="E349" s="21"/>
      <c r="G349" s="21"/>
      <c r="H349" s="21"/>
      <c r="I349" s="34"/>
      <c r="J349" s="34"/>
      <c r="K349" s="39">
        <f>VLOOKUP(A349,OPTIONS!A:C,3,FALSE)*G349</f>
        <v>0</v>
      </c>
      <c r="L349" s="39" t="str">
        <f t="shared" si="21"/>
        <v/>
      </c>
      <c r="M349" s="39" t="str">
        <f t="shared" si="22"/>
        <v>0</v>
      </c>
      <c r="N349" s="39" t="str">
        <f t="shared" si="23"/>
        <v xml:space="preserve"> ()</v>
      </c>
    </row>
    <row r="350" spans="1:14" x14ac:dyDescent="0.3">
      <c r="A350" s="34"/>
      <c r="B350" s="38"/>
      <c r="C350" s="34"/>
      <c r="D350" s="21"/>
      <c r="E350" s="21"/>
      <c r="G350" s="21"/>
      <c r="H350" s="21"/>
      <c r="I350" s="34"/>
      <c r="J350" s="34"/>
      <c r="K350" s="39">
        <f>VLOOKUP(A350,OPTIONS!A:C,3,FALSE)*G350</f>
        <v>0</v>
      </c>
      <c r="L350" s="39" t="str">
        <f t="shared" si="21"/>
        <v/>
      </c>
      <c r="M350" s="39" t="str">
        <f t="shared" si="22"/>
        <v>0</v>
      </c>
      <c r="N350" s="39" t="str">
        <f t="shared" si="23"/>
        <v xml:space="preserve"> ()</v>
      </c>
    </row>
    <row r="351" spans="1:14" x14ac:dyDescent="0.3">
      <c r="A351" s="34"/>
      <c r="B351" s="38"/>
      <c r="C351" s="34"/>
      <c r="D351" s="21"/>
      <c r="E351" s="21"/>
      <c r="G351" s="21"/>
      <c r="H351" s="21"/>
      <c r="I351" s="34"/>
      <c r="J351" s="34"/>
      <c r="K351" s="39">
        <f>VLOOKUP(A351,OPTIONS!A:C,3,FALSE)*G351</f>
        <v>0</v>
      </c>
      <c r="L351" s="39" t="str">
        <f t="shared" si="21"/>
        <v/>
      </c>
      <c r="M351" s="39" t="str">
        <f t="shared" si="22"/>
        <v>0</v>
      </c>
      <c r="N351" s="39" t="str">
        <f t="shared" si="23"/>
        <v xml:space="preserve"> ()</v>
      </c>
    </row>
    <row r="352" spans="1:14" x14ac:dyDescent="0.3">
      <c r="A352" s="34"/>
      <c r="B352" s="38"/>
      <c r="C352" s="34"/>
      <c r="D352" s="21"/>
      <c r="E352" s="21"/>
      <c r="G352" s="21"/>
      <c r="H352" s="21"/>
      <c r="I352" s="34"/>
      <c r="J352" s="34"/>
      <c r="K352" s="39">
        <f>VLOOKUP(A352,OPTIONS!A:C,3,FALSE)*G352</f>
        <v>0</v>
      </c>
      <c r="L352" s="39" t="str">
        <f t="shared" si="21"/>
        <v/>
      </c>
      <c r="M352" s="39" t="str">
        <f t="shared" si="22"/>
        <v>0</v>
      </c>
      <c r="N352" s="39" t="str">
        <f t="shared" si="23"/>
        <v xml:space="preserve"> ()</v>
      </c>
    </row>
    <row r="353" spans="1:14" x14ac:dyDescent="0.3">
      <c r="A353" s="34"/>
      <c r="B353" s="38"/>
      <c r="C353" s="34"/>
      <c r="D353" s="21"/>
      <c r="E353" s="21"/>
      <c r="G353" s="21"/>
      <c r="H353" s="21"/>
      <c r="I353" s="34"/>
      <c r="J353" s="34"/>
      <c r="K353" s="39">
        <f>VLOOKUP(A353,OPTIONS!A:C,3,FALSE)*G353</f>
        <v>0</v>
      </c>
      <c r="L353" s="39" t="str">
        <f t="shared" si="21"/>
        <v/>
      </c>
      <c r="M353" s="39" t="str">
        <f t="shared" si="22"/>
        <v>0</v>
      </c>
      <c r="N353" s="39" t="str">
        <f t="shared" si="23"/>
        <v xml:space="preserve"> ()</v>
      </c>
    </row>
    <row r="354" spans="1:14" x14ac:dyDescent="0.3">
      <c r="A354" s="34"/>
      <c r="B354" s="38"/>
      <c r="C354" s="34"/>
      <c r="D354" s="21"/>
      <c r="E354" s="21"/>
      <c r="G354" s="21"/>
      <c r="H354" s="21"/>
      <c r="I354" s="34"/>
      <c r="J354" s="34"/>
      <c r="K354" s="39">
        <f>VLOOKUP(A354,OPTIONS!A:C,3,FALSE)*G354</f>
        <v>0</v>
      </c>
      <c r="L354" s="39" t="str">
        <f t="shared" si="21"/>
        <v/>
      </c>
      <c r="M354" s="39" t="str">
        <f t="shared" si="22"/>
        <v>0</v>
      </c>
      <c r="N354" s="39" t="str">
        <f t="shared" si="23"/>
        <v xml:space="preserve"> ()</v>
      </c>
    </row>
    <row r="355" spans="1:14" x14ac:dyDescent="0.3">
      <c r="A355" s="34"/>
      <c r="B355" s="38"/>
      <c r="C355" s="34"/>
      <c r="D355" s="21"/>
      <c r="E355" s="21"/>
      <c r="G355" s="21"/>
      <c r="H355" s="21"/>
      <c r="I355" s="34"/>
      <c r="J355" s="34"/>
      <c r="K355" s="39">
        <f>VLOOKUP(A355,OPTIONS!A:C,3,FALSE)*G355</f>
        <v>0</v>
      </c>
      <c r="L355" s="39" t="str">
        <f t="shared" si="21"/>
        <v/>
      </c>
      <c r="M355" s="39" t="str">
        <f t="shared" si="22"/>
        <v>0</v>
      </c>
      <c r="N355" s="39" t="str">
        <f t="shared" si="23"/>
        <v xml:space="preserve"> ()</v>
      </c>
    </row>
    <row r="356" spans="1:14" x14ac:dyDescent="0.3">
      <c r="A356" s="34"/>
      <c r="B356" s="38"/>
      <c r="C356" s="34"/>
      <c r="D356" s="21"/>
      <c r="E356" s="21"/>
      <c r="G356" s="21"/>
      <c r="H356" s="21"/>
      <c r="I356" s="34"/>
      <c r="J356" s="34"/>
      <c r="K356" s="39">
        <f>VLOOKUP(A356,OPTIONS!A:C,3,FALSE)*G356</f>
        <v>0</v>
      </c>
      <c r="L356" s="39" t="str">
        <f t="shared" si="21"/>
        <v/>
      </c>
      <c r="M356" s="39" t="str">
        <f t="shared" si="22"/>
        <v>0</v>
      </c>
      <c r="N356" s="39" t="str">
        <f t="shared" si="23"/>
        <v xml:space="preserve"> ()</v>
      </c>
    </row>
    <row r="357" spans="1:14" x14ac:dyDescent="0.3">
      <c r="A357" s="34"/>
      <c r="B357" s="38"/>
      <c r="C357" s="34"/>
      <c r="D357" s="21"/>
      <c r="E357" s="21"/>
      <c r="G357" s="21"/>
      <c r="H357" s="21"/>
      <c r="I357" s="34"/>
      <c r="J357" s="34"/>
      <c r="K357" s="39">
        <f>VLOOKUP(A357,OPTIONS!A:C,3,FALSE)*G357</f>
        <v>0</v>
      </c>
      <c r="L357" s="39" t="str">
        <f t="shared" si="21"/>
        <v/>
      </c>
      <c r="M357" s="39" t="str">
        <f t="shared" si="22"/>
        <v>0</v>
      </c>
      <c r="N357" s="39" t="str">
        <f t="shared" si="23"/>
        <v xml:space="preserve"> ()</v>
      </c>
    </row>
    <row r="358" spans="1:14" x14ac:dyDescent="0.3">
      <c r="A358" s="34"/>
      <c r="B358" s="38"/>
      <c r="C358" s="34"/>
      <c r="D358" s="21"/>
      <c r="E358" s="21"/>
      <c r="G358" s="21"/>
      <c r="H358" s="21"/>
      <c r="I358" s="34"/>
      <c r="J358" s="34"/>
      <c r="K358" s="39">
        <f>VLOOKUP(A358,OPTIONS!A:C,3,FALSE)*G358</f>
        <v>0</v>
      </c>
      <c r="L358" s="39" t="str">
        <f t="shared" si="21"/>
        <v/>
      </c>
      <c r="M358" s="39" t="str">
        <f t="shared" si="22"/>
        <v>0</v>
      </c>
      <c r="N358" s="39" t="str">
        <f t="shared" si="23"/>
        <v xml:space="preserve"> ()</v>
      </c>
    </row>
    <row r="359" spans="1:14" x14ac:dyDescent="0.3">
      <c r="A359" s="34"/>
      <c r="B359" s="38"/>
      <c r="C359" s="34"/>
      <c r="D359" s="21"/>
      <c r="E359" s="21"/>
      <c r="G359" s="21"/>
      <c r="H359" s="21"/>
      <c r="I359" s="34"/>
      <c r="J359" s="34"/>
      <c r="K359" s="39">
        <f>VLOOKUP(A359,OPTIONS!A:C,3,FALSE)*G359</f>
        <v>0</v>
      </c>
      <c r="L359" s="39" t="str">
        <f t="shared" si="21"/>
        <v/>
      </c>
      <c r="M359" s="39" t="str">
        <f t="shared" si="22"/>
        <v>0</v>
      </c>
      <c r="N359" s="39" t="str">
        <f t="shared" si="23"/>
        <v xml:space="preserve"> ()</v>
      </c>
    </row>
    <row r="360" spans="1:14" x14ac:dyDescent="0.3">
      <c r="A360" s="34"/>
      <c r="B360" s="38"/>
      <c r="C360" s="34"/>
      <c r="D360" s="21"/>
      <c r="E360" s="21"/>
      <c r="G360" s="21"/>
      <c r="H360" s="21"/>
      <c r="I360" s="34"/>
      <c r="J360" s="34"/>
      <c r="K360" s="39">
        <f>VLOOKUP(A360,OPTIONS!A:C,3,FALSE)*G360</f>
        <v>0</v>
      </c>
      <c r="L360" s="39" t="str">
        <f t="shared" si="21"/>
        <v/>
      </c>
      <c r="M360" s="39" t="str">
        <f t="shared" si="22"/>
        <v>0</v>
      </c>
      <c r="N360" s="39" t="str">
        <f t="shared" si="23"/>
        <v xml:space="preserve"> ()</v>
      </c>
    </row>
    <row r="361" spans="1:14" x14ac:dyDescent="0.3">
      <c r="A361" s="34"/>
      <c r="B361" s="38"/>
      <c r="C361" s="34"/>
      <c r="D361" s="21"/>
      <c r="E361" s="21"/>
      <c r="G361" s="21"/>
      <c r="H361" s="21"/>
      <c r="I361" s="34"/>
      <c r="J361" s="34"/>
      <c r="K361" s="39">
        <f>VLOOKUP(A361,OPTIONS!A:C,3,FALSE)*G361</f>
        <v>0</v>
      </c>
      <c r="L361" s="39" t="str">
        <f t="shared" si="21"/>
        <v/>
      </c>
      <c r="M361" s="39" t="str">
        <f t="shared" si="22"/>
        <v>0</v>
      </c>
      <c r="N361" s="39" t="str">
        <f t="shared" si="23"/>
        <v xml:space="preserve"> ()</v>
      </c>
    </row>
    <row r="362" spans="1:14" x14ac:dyDescent="0.3">
      <c r="A362" s="34"/>
      <c r="B362" s="38"/>
      <c r="C362" s="34"/>
      <c r="D362" s="21"/>
      <c r="E362" s="21"/>
      <c r="G362" s="21"/>
      <c r="H362" s="21"/>
      <c r="I362" s="34"/>
      <c r="J362" s="34"/>
      <c r="K362" s="39">
        <f>VLOOKUP(A362,OPTIONS!A:C,3,FALSE)*G362</f>
        <v>0</v>
      </c>
      <c r="L362" s="39" t="str">
        <f t="shared" si="21"/>
        <v/>
      </c>
      <c r="M362" s="39" t="str">
        <f t="shared" si="22"/>
        <v>0</v>
      </c>
      <c r="N362" s="39" t="str">
        <f t="shared" si="23"/>
        <v xml:space="preserve"> ()</v>
      </c>
    </row>
    <row r="363" spans="1:14" x14ac:dyDescent="0.3">
      <c r="A363" s="34"/>
      <c r="B363" s="38"/>
      <c r="C363" s="34"/>
      <c r="D363" s="21"/>
      <c r="E363" s="21"/>
      <c r="G363" s="21"/>
      <c r="H363" s="21"/>
      <c r="I363" s="34"/>
      <c r="J363" s="34"/>
      <c r="K363" s="39">
        <f>VLOOKUP(A363,OPTIONS!A:C,3,FALSE)*G363</f>
        <v>0</v>
      </c>
      <c r="L363" s="39" t="str">
        <f t="shared" si="21"/>
        <v/>
      </c>
      <c r="M363" s="39" t="str">
        <f t="shared" si="22"/>
        <v>0</v>
      </c>
      <c r="N363" s="39" t="str">
        <f t="shared" si="23"/>
        <v xml:space="preserve"> ()</v>
      </c>
    </row>
    <row r="364" spans="1:14" x14ac:dyDescent="0.3">
      <c r="A364" s="34"/>
      <c r="B364" s="38"/>
      <c r="C364" s="34"/>
      <c r="D364" s="21"/>
      <c r="E364" s="21"/>
      <c r="G364" s="21"/>
      <c r="H364" s="21"/>
      <c r="I364" s="34"/>
      <c r="J364" s="34"/>
      <c r="K364" s="39">
        <f>VLOOKUP(A364,OPTIONS!A:C,3,FALSE)*G364</f>
        <v>0</v>
      </c>
      <c r="L364" s="39" t="str">
        <f t="shared" si="21"/>
        <v/>
      </c>
      <c r="M364" s="39" t="str">
        <f t="shared" si="22"/>
        <v>0</v>
      </c>
      <c r="N364" s="39" t="str">
        <f t="shared" si="23"/>
        <v xml:space="preserve"> ()</v>
      </c>
    </row>
    <row r="365" spans="1:14" x14ac:dyDescent="0.3">
      <c r="A365" s="34"/>
      <c r="B365" s="38"/>
      <c r="C365" s="34"/>
      <c r="D365" s="21"/>
      <c r="E365" s="21"/>
      <c r="G365" s="21"/>
      <c r="H365" s="21"/>
      <c r="I365" s="34"/>
      <c r="J365" s="34"/>
      <c r="K365" s="39">
        <f>VLOOKUP(A365,OPTIONS!A:C,3,FALSE)*G365</f>
        <v>0</v>
      </c>
      <c r="L365" s="39" t="str">
        <f t="shared" si="21"/>
        <v/>
      </c>
      <c r="M365" s="39" t="str">
        <f t="shared" si="22"/>
        <v>0</v>
      </c>
      <c r="N365" s="39" t="str">
        <f t="shared" si="23"/>
        <v xml:space="preserve"> ()</v>
      </c>
    </row>
    <row r="366" spans="1:14" x14ac:dyDescent="0.3">
      <c r="A366" s="34"/>
      <c r="B366" s="38"/>
      <c r="C366" s="34"/>
      <c r="D366" s="21"/>
      <c r="E366" s="21"/>
      <c r="G366" s="21"/>
      <c r="H366" s="21"/>
      <c r="I366" s="34"/>
      <c r="J366" s="34"/>
      <c r="K366" s="39">
        <f>VLOOKUP(A366,OPTIONS!A:C,3,FALSE)*G366</f>
        <v>0</v>
      </c>
      <c r="L366" s="39" t="str">
        <f t="shared" si="21"/>
        <v/>
      </c>
      <c r="M366" s="39" t="str">
        <f t="shared" si="22"/>
        <v>0</v>
      </c>
      <c r="N366" s="39" t="str">
        <f t="shared" si="23"/>
        <v xml:space="preserve"> ()</v>
      </c>
    </row>
    <row r="367" spans="1:14" x14ac:dyDescent="0.3">
      <c r="A367" s="34"/>
      <c r="B367" s="38"/>
      <c r="C367" s="34"/>
      <c r="D367" s="21"/>
      <c r="E367" s="21"/>
      <c r="G367" s="21"/>
      <c r="H367" s="21"/>
      <c r="I367" s="34"/>
      <c r="J367" s="34"/>
      <c r="K367" s="39">
        <f>VLOOKUP(A367,OPTIONS!A:C,3,FALSE)*G367</f>
        <v>0</v>
      </c>
      <c r="L367" s="39" t="str">
        <f t="shared" si="21"/>
        <v/>
      </c>
      <c r="M367" s="39" t="str">
        <f t="shared" si="22"/>
        <v>0</v>
      </c>
      <c r="N367" s="39" t="str">
        <f t="shared" si="23"/>
        <v xml:space="preserve"> ()</v>
      </c>
    </row>
    <row r="368" spans="1:14" x14ac:dyDescent="0.3">
      <c r="A368" s="34"/>
      <c r="B368" s="38"/>
      <c r="C368" s="34"/>
      <c r="D368" s="21"/>
      <c r="E368" s="21"/>
      <c r="G368" s="21"/>
      <c r="H368" s="21"/>
      <c r="I368" s="34"/>
      <c r="J368" s="34"/>
      <c r="K368" s="39">
        <f>VLOOKUP(A368,OPTIONS!A:C,3,FALSE)*G368</f>
        <v>0</v>
      </c>
      <c r="L368" s="39" t="str">
        <f t="shared" si="21"/>
        <v/>
      </c>
      <c r="M368" s="39" t="str">
        <f t="shared" si="22"/>
        <v>0</v>
      </c>
      <c r="N368" s="39" t="str">
        <f t="shared" si="23"/>
        <v xml:space="preserve"> ()</v>
      </c>
    </row>
    <row r="369" spans="1:14" x14ac:dyDescent="0.3">
      <c r="A369" s="34"/>
      <c r="B369" s="38"/>
      <c r="C369" s="34"/>
      <c r="D369" s="21"/>
      <c r="E369" s="21"/>
      <c r="G369" s="21"/>
      <c r="H369" s="21"/>
      <c r="I369" s="34"/>
      <c r="J369" s="34"/>
      <c r="K369" s="39">
        <f>VLOOKUP(A369,OPTIONS!A:C,3,FALSE)*G369</f>
        <v>0</v>
      </c>
      <c r="L369" s="39" t="str">
        <f t="shared" si="21"/>
        <v/>
      </c>
      <c r="M369" s="39" t="str">
        <f t="shared" si="22"/>
        <v>0</v>
      </c>
      <c r="N369" s="39" t="str">
        <f t="shared" si="23"/>
        <v xml:space="preserve"> ()</v>
      </c>
    </row>
    <row r="370" spans="1:14" x14ac:dyDescent="0.3">
      <c r="A370" s="34"/>
      <c r="B370" s="38"/>
      <c r="C370" s="34"/>
      <c r="D370" s="21"/>
      <c r="E370" s="21"/>
      <c r="G370" s="21"/>
      <c r="H370" s="21"/>
      <c r="I370" s="34"/>
      <c r="J370" s="34"/>
      <c r="K370" s="39">
        <f>VLOOKUP(A370,OPTIONS!A:C,3,FALSE)*G370</f>
        <v>0</v>
      </c>
      <c r="L370" s="39" t="str">
        <f t="shared" si="21"/>
        <v/>
      </c>
      <c r="M370" s="39" t="str">
        <f t="shared" si="22"/>
        <v>0</v>
      </c>
      <c r="N370" s="39" t="str">
        <f t="shared" si="23"/>
        <v xml:space="preserve"> ()</v>
      </c>
    </row>
    <row r="371" spans="1:14" x14ac:dyDescent="0.3">
      <c r="A371" s="34"/>
      <c r="B371" s="38"/>
      <c r="C371" s="34"/>
      <c r="D371" s="21"/>
      <c r="E371" s="21"/>
      <c r="G371" s="21"/>
      <c r="H371" s="21"/>
      <c r="I371" s="34"/>
      <c r="J371" s="34"/>
      <c r="K371" s="39">
        <f>VLOOKUP(A371,OPTIONS!A:C,3,FALSE)*G371</f>
        <v>0</v>
      </c>
      <c r="L371" s="39" t="str">
        <f t="shared" si="21"/>
        <v/>
      </c>
      <c r="M371" s="39" t="str">
        <f t="shared" si="22"/>
        <v>0</v>
      </c>
      <c r="N371" s="39" t="str">
        <f t="shared" si="23"/>
        <v xml:space="preserve"> ()</v>
      </c>
    </row>
    <row r="372" spans="1:14" x14ac:dyDescent="0.3">
      <c r="A372" s="34"/>
      <c r="B372" s="38"/>
      <c r="C372" s="34"/>
      <c r="D372" s="21"/>
      <c r="E372" s="21"/>
      <c r="G372" s="21"/>
      <c r="H372" s="21"/>
      <c r="I372" s="34"/>
      <c r="J372" s="34"/>
      <c r="K372" s="39">
        <f>VLOOKUP(A372,OPTIONS!A:C,3,FALSE)*G372</f>
        <v>0</v>
      </c>
      <c r="L372" s="39" t="str">
        <f t="shared" si="21"/>
        <v/>
      </c>
      <c r="M372" s="39" t="str">
        <f t="shared" si="22"/>
        <v>0</v>
      </c>
      <c r="N372" s="39" t="str">
        <f t="shared" si="23"/>
        <v xml:space="preserve"> ()</v>
      </c>
    </row>
    <row r="373" spans="1:14" x14ac:dyDescent="0.3">
      <c r="A373" s="34"/>
      <c r="B373" s="38"/>
      <c r="C373" s="34"/>
      <c r="D373" s="21"/>
      <c r="E373" s="21"/>
      <c r="G373" s="21"/>
      <c r="H373" s="21"/>
      <c r="I373" s="34"/>
      <c r="J373" s="34"/>
      <c r="K373" s="39">
        <f>VLOOKUP(A373,OPTIONS!A:C,3,FALSE)*G373</f>
        <v>0</v>
      </c>
      <c r="L373" s="39" t="str">
        <f t="shared" si="21"/>
        <v/>
      </c>
      <c r="M373" s="39" t="str">
        <f t="shared" si="22"/>
        <v>0</v>
      </c>
      <c r="N373" s="39" t="str">
        <f t="shared" si="23"/>
        <v xml:space="preserve"> ()</v>
      </c>
    </row>
    <row r="374" spans="1:14" x14ac:dyDescent="0.3">
      <c r="A374" s="34"/>
      <c r="B374" s="38"/>
      <c r="C374" s="34"/>
      <c r="D374" s="21"/>
      <c r="E374" s="21"/>
      <c r="G374" s="21"/>
      <c r="H374" s="21"/>
      <c r="I374" s="34"/>
      <c r="J374" s="34"/>
      <c r="K374" s="39">
        <f>VLOOKUP(A374,OPTIONS!A:C,3,FALSE)*G374</f>
        <v>0</v>
      </c>
      <c r="L374" s="39" t="str">
        <f t="shared" si="21"/>
        <v/>
      </c>
      <c r="M374" s="39" t="str">
        <f t="shared" si="22"/>
        <v>0</v>
      </c>
      <c r="N374" s="39" t="str">
        <f t="shared" si="23"/>
        <v xml:space="preserve"> ()</v>
      </c>
    </row>
    <row r="375" spans="1:14" x14ac:dyDescent="0.3">
      <c r="A375" s="34"/>
      <c r="B375" s="38"/>
      <c r="C375" s="34"/>
      <c r="D375" s="21"/>
      <c r="E375" s="21"/>
      <c r="G375" s="21"/>
      <c r="H375" s="21"/>
      <c r="I375" s="34"/>
      <c r="J375" s="34"/>
      <c r="K375" s="39">
        <f>VLOOKUP(A375,OPTIONS!A:C,3,FALSE)*G375</f>
        <v>0</v>
      </c>
      <c r="L375" s="39" t="str">
        <f t="shared" si="21"/>
        <v/>
      </c>
      <c r="M375" s="39" t="str">
        <f t="shared" si="22"/>
        <v>0</v>
      </c>
      <c r="N375" s="39" t="str">
        <f t="shared" si="23"/>
        <v xml:space="preserve"> ()</v>
      </c>
    </row>
    <row r="376" spans="1:14" x14ac:dyDescent="0.3">
      <c r="A376" s="34"/>
      <c r="B376" s="38"/>
      <c r="C376" s="34"/>
      <c r="D376" s="21"/>
      <c r="E376" s="21"/>
      <c r="G376" s="21"/>
      <c r="H376" s="21"/>
      <c r="I376" s="34"/>
      <c r="J376" s="34"/>
      <c r="K376" s="39">
        <f>VLOOKUP(A376,OPTIONS!A:C,3,FALSE)*G376</f>
        <v>0</v>
      </c>
      <c r="L376" s="39" t="str">
        <f t="shared" si="21"/>
        <v/>
      </c>
      <c r="M376" s="39" t="str">
        <f t="shared" si="22"/>
        <v>0</v>
      </c>
      <c r="N376" s="39" t="str">
        <f t="shared" si="23"/>
        <v xml:space="preserve"> ()</v>
      </c>
    </row>
    <row r="377" spans="1:14" x14ac:dyDescent="0.3">
      <c r="A377" s="34"/>
      <c r="B377" s="38"/>
      <c r="C377" s="34"/>
      <c r="D377" s="21"/>
      <c r="E377" s="21"/>
      <c r="G377" s="21"/>
      <c r="H377" s="21"/>
      <c r="I377" s="34"/>
      <c r="J377" s="34"/>
      <c r="K377" s="39">
        <f>VLOOKUP(A377,OPTIONS!A:C,3,FALSE)*G377</f>
        <v>0</v>
      </c>
      <c r="L377" s="39" t="str">
        <f t="shared" si="21"/>
        <v/>
      </c>
      <c r="M377" s="39" t="str">
        <f t="shared" si="22"/>
        <v>0</v>
      </c>
      <c r="N377" s="39" t="str">
        <f t="shared" si="23"/>
        <v xml:space="preserve"> ()</v>
      </c>
    </row>
    <row r="378" spans="1:14" x14ac:dyDescent="0.3">
      <c r="A378" s="34"/>
      <c r="B378" s="38"/>
      <c r="C378" s="34"/>
      <c r="D378" s="21"/>
      <c r="E378" s="21"/>
      <c r="G378" s="21"/>
      <c r="H378" s="21"/>
      <c r="I378" s="34"/>
      <c r="J378" s="34"/>
      <c r="K378" s="39">
        <f>VLOOKUP(A378,OPTIONS!A:C,3,FALSE)*G378</f>
        <v>0</v>
      </c>
      <c r="L378" s="39" t="str">
        <f t="shared" si="21"/>
        <v/>
      </c>
      <c r="M378" s="39" t="str">
        <f t="shared" si="22"/>
        <v>0</v>
      </c>
      <c r="N378" s="39" t="str">
        <f t="shared" si="23"/>
        <v xml:space="preserve"> ()</v>
      </c>
    </row>
    <row r="379" spans="1:14" x14ac:dyDescent="0.3">
      <c r="A379" s="34"/>
      <c r="B379" s="38"/>
      <c r="C379" s="34"/>
      <c r="D379" s="21"/>
      <c r="E379" s="21"/>
      <c r="G379" s="21"/>
      <c r="H379" s="21"/>
      <c r="I379" s="34"/>
      <c r="J379" s="34"/>
      <c r="K379" s="39">
        <f>VLOOKUP(A379,OPTIONS!A:C,3,FALSE)*G379</f>
        <v>0</v>
      </c>
      <c r="L379" s="39" t="str">
        <f t="shared" si="21"/>
        <v/>
      </c>
      <c r="M379" s="39" t="str">
        <f t="shared" si="22"/>
        <v>0</v>
      </c>
      <c r="N379" s="39" t="str">
        <f t="shared" si="23"/>
        <v xml:space="preserve"> ()</v>
      </c>
    </row>
    <row r="380" spans="1:14" x14ac:dyDescent="0.3">
      <c r="A380" s="34"/>
      <c r="B380" s="38"/>
      <c r="C380" s="34"/>
      <c r="D380" s="21"/>
      <c r="E380" s="21"/>
      <c r="G380" s="21"/>
      <c r="H380" s="21"/>
      <c r="I380" s="34"/>
      <c r="J380" s="34"/>
      <c r="K380" s="39">
        <f>VLOOKUP(A380,OPTIONS!A:C,3,FALSE)*G380</f>
        <v>0</v>
      </c>
      <c r="L380" s="39" t="str">
        <f t="shared" si="21"/>
        <v/>
      </c>
      <c r="M380" s="39" t="str">
        <f t="shared" si="22"/>
        <v>0</v>
      </c>
      <c r="N380" s="39" t="str">
        <f t="shared" si="23"/>
        <v xml:space="preserve"> ()</v>
      </c>
    </row>
    <row r="381" spans="1:14" x14ac:dyDescent="0.3">
      <c r="A381" s="34"/>
      <c r="B381" s="38"/>
      <c r="C381" s="34"/>
      <c r="D381" s="21"/>
      <c r="E381" s="21"/>
      <c r="G381" s="21"/>
      <c r="H381" s="21"/>
      <c r="I381" s="34"/>
      <c r="J381" s="34"/>
      <c r="K381" s="39">
        <f>VLOOKUP(A381,OPTIONS!A:C,3,FALSE)*G381</f>
        <v>0</v>
      </c>
      <c r="L381" s="39" t="str">
        <f t="shared" si="21"/>
        <v/>
      </c>
      <c r="M381" s="39" t="str">
        <f t="shared" si="22"/>
        <v>0</v>
      </c>
      <c r="N381" s="39" t="str">
        <f t="shared" si="23"/>
        <v xml:space="preserve"> ()</v>
      </c>
    </row>
    <row r="382" spans="1:14" x14ac:dyDescent="0.3">
      <c r="A382" s="34"/>
      <c r="B382" s="38"/>
      <c r="C382" s="34"/>
      <c r="D382" s="21"/>
      <c r="E382" s="21"/>
      <c r="G382" s="21"/>
      <c r="H382" s="21"/>
      <c r="I382" s="34"/>
      <c r="J382" s="34"/>
      <c r="K382" s="39">
        <f>VLOOKUP(A382,OPTIONS!A:C,3,FALSE)*G382</f>
        <v>0</v>
      </c>
      <c r="L382" s="39" t="str">
        <f t="shared" si="21"/>
        <v/>
      </c>
      <c r="M382" s="39" t="str">
        <f t="shared" si="22"/>
        <v>0</v>
      </c>
      <c r="N382" s="39" t="str">
        <f t="shared" si="23"/>
        <v xml:space="preserve"> ()</v>
      </c>
    </row>
    <row r="383" spans="1:14" x14ac:dyDescent="0.3">
      <c r="A383" s="34"/>
      <c r="B383" s="38"/>
      <c r="C383" s="34"/>
      <c r="D383" s="21"/>
      <c r="E383" s="21"/>
      <c r="G383" s="21"/>
      <c r="H383" s="21"/>
      <c r="I383" s="34"/>
      <c r="J383" s="34"/>
      <c r="K383" s="39">
        <f>VLOOKUP(A383,OPTIONS!A:C,3,FALSE)*G383</f>
        <v>0</v>
      </c>
      <c r="L383" s="39" t="str">
        <f t="shared" si="21"/>
        <v/>
      </c>
      <c r="M383" s="39" t="str">
        <f t="shared" si="22"/>
        <v>0</v>
      </c>
      <c r="N383" s="39" t="str">
        <f t="shared" si="23"/>
        <v xml:space="preserve"> ()</v>
      </c>
    </row>
    <row r="384" spans="1:14" x14ac:dyDescent="0.3">
      <c r="A384" s="34"/>
      <c r="B384" s="38"/>
      <c r="C384" s="34"/>
      <c r="D384" s="21"/>
      <c r="E384" s="21"/>
      <c r="G384" s="21"/>
      <c r="H384" s="21"/>
      <c r="I384" s="34"/>
      <c r="J384" s="34"/>
      <c r="K384" s="39">
        <f>VLOOKUP(A384,OPTIONS!A:C,3,FALSE)*G384</f>
        <v>0</v>
      </c>
      <c r="L384" s="39" t="str">
        <f t="shared" si="21"/>
        <v/>
      </c>
      <c r="M384" s="39" t="str">
        <f t="shared" si="22"/>
        <v>0</v>
      </c>
      <c r="N384" s="39" t="str">
        <f t="shared" si="23"/>
        <v xml:space="preserve"> ()</v>
      </c>
    </row>
    <row r="385" spans="1:14" x14ac:dyDescent="0.3">
      <c r="A385" s="34"/>
      <c r="B385" s="38"/>
      <c r="C385" s="34"/>
      <c r="D385" s="21"/>
      <c r="E385" s="21"/>
      <c r="G385" s="21"/>
      <c r="H385" s="21"/>
      <c r="I385" s="34"/>
      <c r="J385" s="34"/>
      <c r="K385" s="39">
        <f>VLOOKUP(A385,OPTIONS!A:C,3,FALSE)*G385</f>
        <v>0</v>
      </c>
      <c r="L385" s="39" t="str">
        <f t="shared" si="21"/>
        <v/>
      </c>
      <c r="M385" s="39" t="str">
        <f t="shared" si="22"/>
        <v>0</v>
      </c>
      <c r="N385" s="39" t="str">
        <f t="shared" si="23"/>
        <v xml:space="preserve"> ()</v>
      </c>
    </row>
    <row r="386" spans="1:14" x14ac:dyDescent="0.3">
      <c r="A386" s="34"/>
      <c r="B386" s="38"/>
      <c r="C386" s="34"/>
      <c r="D386" s="21"/>
      <c r="E386" s="21"/>
      <c r="G386" s="21"/>
      <c r="H386" s="21"/>
      <c r="I386" s="34"/>
      <c r="J386" s="34"/>
      <c r="K386" s="39">
        <f>VLOOKUP(A386,OPTIONS!A:C,3,FALSE)*G386</f>
        <v>0</v>
      </c>
      <c r="L386" s="39" t="str">
        <f t="shared" si="21"/>
        <v/>
      </c>
      <c r="M386" s="39" t="str">
        <f t="shared" si="22"/>
        <v>0</v>
      </c>
      <c r="N386" s="39" t="str">
        <f t="shared" si="23"/>
        <v xml:space="preserve"> ()</v>
      </c>
    </row>
    <row r="387" spans="1:14" x14ac:dyDescent="0.3">
      <c r="A387" s="34"/>
      <c r="B387" s="38"/>
      <c r="C387" s="34"/>
      <c r="D387" s="21"/>
      <c r="E387" s="21"/>
      <c r="G387" s="21"/>
      <c r="H387" s="21"/>
      <c r="I387" s="34"/>
      <c r="J387" s="34"/>
      <c r="K387" s="39">
        <f>VLOOKUP(A387,OPTIONS!A:C,3,FALSE)*G387</f>
        <v>0</v>
      </c>
      <c r="L387" s="39" t="str">
        <f t="shared" si="21"/>
        <v/>
      </c>
      <c r="M387" s="39" t="str">
        <f t="shared" si="22"/>
        <v>0</v>
      </c>
      <c r="N387" s="39" t="str">
        <f t="shared" si="23"/>
        <v xml:space="preserve"> ()</v>
      </c>
    </row>
    <row r="388" spans="1:14" x14ac:dyDescent="0.3">
      <c r="A388" s="34"/>
      <c r="B388" s="38"/>
      <c r="C388" s="34"/>
      <c r="D388" s="21"/>
      <c r="E388" s="21"/>
      <c r="G388" s="21"/>
      <c r="H388" s="21"/>
      <c r="I388" s="34"/>
      <c r="J388" s="34"/>
      <c r="K388" s="39">
        <f>VLOOKUP(A388,OPTIONS!A:C,3,FALSE)*G388</f>
        <v>0</v>
      </c>
      <c r="L388" s="39" t="str">
        <f t="shared" si="21"/>
        <v/>
      </c>
      <c r="M388" s="39" t="str">
        <f t="shared" si="22"/>
        <v>0</v>
      </c>
      <c r="N388" s="39" t="str">
        <f t="shared" si="23"/>
        <v xml:space="preserve"> ()</v>
      </c>
    </row>
    <row r="389" spans="1:14" x14ac:dyDescent="0.3">
      <c r="A389" s="34"/>
      <c r="B389" s="38"/>
      <c r="C389" s="34"/>
      <c r="D389" s="21"/>
      <c r="E389" s="21"/>
      <c r="G389" s="21"/>
      <c r="H389" s="21"/>
      <c r="I389" s="34"/>
      <c r="J389" s="34"/>
      <c r="K389" s="39">
        <f>VLOOKUP(A389,OPTIONS!A:C,3,FALSE)*G389</f>
        <v>0</v>
      </c>
      <c r="L389" s="39" t="str">
        <f t="shared" si="21"/>
        <v/>
      </c>
      <c r="M389" s="39" t="str">
        <f t="shared" si="22"/>
        <v>0</v>
      </c>
      <c r="N389" s="39" t="str">
        <f t="shared" si="23"/>
        <v xml:space="preserve"> ()</v>
      </c>
    </row>
    <row r="390" spans="1:14" x14ac:dyDescent="0.3">
      <c r="A390" s="34"/>
      <c r="B390" s="38"/>
      <c r="C390" s="34"/>
      <c r="D390" s="21"/>
      <c r="E390" s="21"/>
      <c r="G390" s="21"/>
      <c r="H390" s="21"/>
      <c r="I390" s="34"/>
      <c r="J390" s="34"/>
      <c r="K390" s="39">
        <f>VLOOKUP(A390,OPTIONS!A:C,3,FALSE)*G390</f>
        <v>0</v>
      </c>
      <c r="L390" s="39" t="str">
        <f t="shared" si="21"/>
        <v/>
      </c>
      <c r="M390" s="39" t="str">
        <f t="shared" si="22"/>
        <v>0</v>
      </c>
      <c r="N390" s="39" t="str">
        <f t="shared" si="23"/>
        <v xml:space="preserve"> ()</v>
      </c>
    </row>
    <row r="391" spans="1:14" x14ac:dyDescent="0.3">
      <c r="A391" s="34"/>
      <c r="B391" s="38"/>
      <c r="C391" s="34"/>
      <c r="D391" s="21"/>
      <c r="E391" s="21"/>
      <c r="G391" s="21"/>
      <c r="H391" s="21"/>
      <c r="I391" s="34"/>
      <c r="J391" s="34"/>
      <c r="K391" s="39">
        <f>VLOOKUP(A391,OPTIONS!A:C,3,FALSE)*G391</f>
        <v>0</v>
      </c>
      <c r="L391" s="39" t="str">
        <f t="shared" si="21"/>
        <v/>
      </c>
      <c r="M391" s="39" t="str">
        <f t="shared" si="22"/>
        <v>0</v>
      </c>
      <c r="N391" s="39" t="str">
        <f t="shared" si="23"/>
        <v xml:space="preserve"> ()</v>
      </c>
    </row>
    <row r="392" spans="1:14" x14ac:dyDescent="0.3">
      <c r="A392" s="34"/>
      <c r="B392" s="38"/>
      <c r="C392" s="34"/>
      <c r="D392" s="21"/>
      <c r="E392" s="21"/>
      <c r="G392" s="21"/>
      <c r="H392" s="21"/>
      <c r="I392" s="34"/>
      <c r="J392" s="34"/>
      <c r="K392" s="39">
        <f>VLOOKUP(A392,OPTIONS!A:C,3,FALSE)*G392</f>
        <v>0</v>
      </c>
      <c r="L392" s="39" t="str">
        <f t="shared" si="21"/>
        <v/>
      </c>
      <c r="M392" s="39" t="str">
        <f t="shared" si="22"/>
        <v>0</v>
      </c>
      <c r="N392" s="39" t="str">
        <f t="shared" si="23"/>
        <v xml:space="preserve"> ()</v>
      </c>
    </row>
    <row r="393" spans="1:14" x14ac:dyDescent="0.3">
      <c r="A393" s="34"/>
      <c r="B393" s="38"/>
      <c r="C393" s="34"/>
      <c r="D393" s="21"/>
      <c r="E393" s="21"/>
      <c r="G393" s="21"/>
      <c r="H393" s="21"/>
      <c r="I393" s="34"/>
      <c r="J393" s="34"/>
      <c r="K393" s="39">
        <f>VLOOKUP(A393,OPTIONS!A:C,3,FALSE)*G393</f>
        <v>0</v>
      </c>
      <c r="L393" s="39" t="str">
        <f t="shared" si="21"/>
        <v/>
      </c>
      <c r="M393" s="39" t="str">
        <f t="shared" si="22"/>
        <v>0</v>
      </c>
      <c r="N393" s="39" t="str">
        <f t="shared" si="23"/>
        <v xml:space="preserve"> ()</v>
      </c>
    </row>
    <row r="394" spans="1:14" x14ac:dyDescent="0.3">
      <c r="A394" s="34"/>
      <c r="B394" s="38"/>
      <c r="C394" s="34"/>
      <c r="D394" s="21"/>
      <c r="E394" s="21"/>
      <c r="G394" s="21"/>
      <c r="H394" s="21"/>
      <c r="I394" s="34"/>
      <c r="J394" s="34"/>
      <c r="K394" s="39">
        <f>VLOOKUP(A394,OPTIONS!A:C,3,FALSE)*G394</f>
        <v>0</v>
      </c>
      <c r="L394" s="39" t="str">
        <f t="shared" si="21"/>
        <v/>
      </c>
      <c r="M394" s="39" t="str">
        <f t="shared" si="22"/>
        <v>0</v>
      </c>
      <c r="N394" s="39" t="str">
        <f t="shared" si="23"/>
        <v xml:space="preserve"> ()</v>
      </c>
    </row>
    <row r="395" spans="1:14" x14ac:dyDescent="0.3">
      <c r="A395" s="34"/>
      <c r="B395" s="38"/>
      <c r="C395" s="34"/>
      <c r="D395" s="21"/>
      <c r="E395" s="21"/>
      <c r="G395" s="21"/>
      <c r="H395" s="21"/>
      <c r="I395" s="34"/>
      <c r="J395" s="34"/>
      <c r="K395" s="39">
        <f>VLOOKUP(A395,OPTIONS!A:C,3,FALSE)*G395</f>
        <v>0</v>
      </c>
      <c r="L395" s="39" t="str">
        <f t="shared" si="21"/>
        <v/>
      </c>
      <c r="M395" s="39" t="str">
        <f t="shared" si="22"/>
        <v>0</v>
      </c>
      <c r="N395" s="39" t="str">
        <f t="shared" si="23"/>
        <v xml:space="preserve"> ()</v>
      </c>
    </row>
    <row r="396" spans="1:14" x14ac:dyDescent="0.3">
      <c r="A396" s="34"/>
      <c r="B396" s="38"/>
      <c r="C396" s="34"/>
      <c r="D396" s="21"/>
      <c r="E396" s="21"/>
      <c r="G396" s="21"/>
      <c r="H396" s="21"/>
      <c r="I396" s="34"/>
      <c r="J396" s="34"/>
      <c r="K396" s="39">
        <f>VLOOKUP(A396,OPTIONS!A:C,3,FALSE)*G396</f>
        <v>0</v>
      </c>
      <c r="L396" s="39" t="str">
        <f t="shared" si="21"/>
        <v/>
      </c>
      <c r="M396" s="39" t="str">
        <f t="shared" si="22"/>
        <v>0</v>
      </c>
      <c r="N396" s="39" t="str">
        <f t="shared" si="23"/>
        <v xml:space="preserve"> ()</v>
      </c>
    </row>
    <row r="397" spans="1:14" x14ac:dyDescent="0.3">
      <c r="A397" s="34"/>
      <c r="B397" s="38"/>
      <c r="C397" s="34"/>
      <c r="D397" s="21"/>
      <c r="E397" s="21"/>
      <c r="G397" s="21"/>
      <c r="H397" s="21"/>
      <c r="I397" s="34"/>
      <c r="J397" s="34"/>
      <c r="K397" s="39">
        <f>VLOOKUP(A397,OPTIONS!A:C,3,FALSE)*G397</f>
        <v>0</v>
      </c>
      <c r="L397" s="39" t="str">
        <f t="shared" si="21"/>
        <v/>
      </c>
      <c r="M397" s="39" t="str">
        <f t="shared" si="22"/>
        <v>0</v>
      </c>
      <c r="N397" s="39" t="str">
        <f t="shared" si="23"/>
        <v xml:space="preserve"> ()</v>
      </c>
    </row>
    <row r="398" spans="1:14" x14ac:dyDescent="0.3">
      <c r="A398" s="34"/>
      <c r="B398" s="38"/>
      <c r="C398" s="34"/>
      <c r="D398" s="21"/>
      <c r="E398" s="21"/>
      <c r="G398" s="21"/>
      <c r="H398" s="21"/>
      <c r="I398" s="34"/>
      <c r="J398" s="34"/>
      <c r="K398" s="39">
        <f>VLOOKUP(A398,OPTIONS!A:C,3,FALSE)*G398</f>
        <v>0</v>
      </c>
      <c r="L398" s="39" t="str">
        <f t="shared" si="21"/>
        <v/>
      </c>
      <c r="M398" s="39" t="str">
        <f t="shared" si="22"/>
        <v>0</v>
      </c>
      <c r="N398" s="39" t="str">
        <f t="shared" si="23"/>
        <v xml:space="preserve"> ()</v>
      </c>
    </row>
    <row r="399" spans="1:14" x14ac:dyDescent="0.3">
      <c r="A399" s="34"/>
      <c r="B399" s="38"/>
      <c r="C399" s="34"/>
      <c r="D399" s="21"/>
      <c r="E399" s="21"/>
      <c r="G399" s="21"/>
      <c r="H399" s="21"/>
      <c r="I399" s="34"/>
      <c r="J399" s="34"/>
      <c r="K399" s="39">
        <f>VLOOKUP(A399,OPTIONS!A:C,3,FALSE)*G399</f>
        <v>0</v>
      </c>
      <c r="L399" s="39" t="str">
        <f t="shared" si="21"/>
        <v/>
      </c>
      <c r="M399" s="39" t="str">
        <f t="shared" si="22"/>
        <v>0</v>
      </c>
      <c r="N399" s="39" t="str">
        <f t="shared" si="23"/>
        <v xml:space="preserve"> ()</v>
      </c>
    </row>
    <row r="400" spans="1:14" x14ac:dyDescent="0.3">
      <c r="A400" s="34"/>
      <c r="B400" s="38"/>
      <c r="C400" s="34"/>
      <c r="D400" s="21"/>
      <c r="E400" s="21"/>
      <c r="G400" s="21"/>
      <c r="H400" s="21"/>
      <c r="I400" s="34"/>
      <c r="J400" s="34"/>
      <c r="K400" s="39">
        <f>VLOOKUP(A400,OPTIONS!A:C,3,FALSE)*G400</f>
        <v>0</v>
      </c>
      <c r="L400" s="39" t="str">
        <f t="shared" si="21"/>
        <v/>
      </c>
      <c r="M400" s="39" t="str">
        <f t="shared" si="22"/>
        <v>0</v>
      </c>
      <c r="N400" s="39" t="str">
        <f t="shared" si="23"/>
        <v xml:space="preserve"> ()</v>
      </c>
    </row>
    <row r="401" spans="1:14" x14ac:dyDescent="0.3">
      <c r="A401" s="34"/>
      <c r="B401" s="38"/>
      <c r="C401" s="34"/>
      <c r="D401" s="21"/>
      <c r="E401" s="21"/>
      <c r="G401" s="21"/>
      <c r="H401" s="21"/>
      <c r="I401" s="34"/>
      <c r="J401" s="34"/>
      <c r="K401" s="39">
        <f>VLOOKUP(A401,OPTIONS!A:C,3,FALSE)*G401</f>
        <v>0</v>
      </c>
      <c r="L401" s="39" t="str">
        <f t="shared" si="21"/>
        <v/>
      </c>
      <c r="M401" s="39" t="str">
        <f t="shared" si="22"/>
        <v>0</v>
      </c>
      <c r="N401" s="39" t="str">
        <f t="shared" si="23"/>
        <v xml:space="preserve"> ()</v>
      </c>
    </row>
    <row r="402" spans="1:14" x14ac:dyDescent="0.3">
      <c r="A402" s="34"/>
      <c r="B402" s="38"/>
      <c r="C402" s="34"/>
      <c r="D402" s="21"/>
      <c r="E402" s="21"/>
      <c r="G402" s="21"/>
      <c r="H402" s="21"/>
      <c r="I402" s="34"/>
      <c r="J402" s="34"/>
      <c r="K402" s="39">
        <f>VLOOKUP(A402,OPTIONS!A:C,3,FALSE)*G402</f>
        <v>0</v>
      </c>
      <c r="L402" s="39" t="str">
        <f t="shared" si="21"/>
        <v/>
      </c>
      <c r="M402" s="39" t="str">
        <f t="shared" si="22"/>
        <v>0</v>
      </c>
      <c r="N402" s="39" t="str">
        <f t="shared" si="23"/>
        <v xml:space="preserve"> ()</v>
      </c>
    </row>
    <row r="403" spans="1:14" x14ac:dyDescent="0.3">
      <c r="A403" s="34"/>
      <c r="B403" s="38"/>
      <c r="C403" s="34"/>
      <c r="D403" s="21"/>
      <c r="E403" s="21"/>
      <c r="G403" s="21"/>
      <c r="H403" s="21"/>
      <c r="I403" s="34"/>
      <c r="J403" s="34"/>
      <c r="K403" s="39">
        <f>VLOOKUP(A403,OPTIONS!A:C,3,FALSE)*G403</f>
        <v>0</v>
      </c>
      <c r="L403" s="39" t="str">
        <f t="shared" si="21"/>
        <v/>
      </c>
      <c r="M403" s="39" t="str">
        <f t="shared" si="22"/>
        <v>0</v>
      </c>
      <c r="N403" s="39" t="str">
        <f t="shared" si="23"/>
        <v xml:space="preserve"> ()</v>
      </c>
    </row>
    <row r="404" spans="1:14" x14ac:dyDescent="0.3">
      <c r="A404" s="34"/>
      <c r="B404" s="38"/>
      <c r="C404" s="34"/>
      <c r="D404" s="21"/>
      <c r="E404" s="21"/>
      <c r="G404" s="21"/>
      <c r="H404" s="21"/>
      <c r="I404" s="34"/>
      <c r="J404" s="34"/>
      <c r="K404" s="39">
        <f>VLOOKUP(A404,OPTIONS!A:C,3,FALSE)*G404</f>
        <v>0</v>
      </c>
      <c r="L404" s="39" t="str">
        <f t="shared" si="21"/>
        <v/>
      </c>
      <c r="M404" s="39" t="str">
        <f t="shared" si="22"/>
        <v>0</v>
      </c>
      <c r="N404" s="39" t="str">
        <f t="shared" si="23"/>
        <v xml:space="preserve"> ()</v>
      </c>
    </row>
    <row r="405" spans="1:14" x14ac:dyDescent="0.3">
      <c r="A405" s="34"/>
      <c r="B405" s="38"/>
      <c r="C405" s="34"/>
      <c r="D405" s="21"/>
      <c r="E405" s="21"/>
      <c r="G405" s="21"/>
      <c r="H405" s="21"/>
      <c r="I405" s="34"/>
      <c r="J405" s="34"/>
      <c r="K405" s="39">
        <f>VLOOKUP(A405,OPTIONS!A:C,3,FALSE)*G405</f>
        <v>0</v>
      </c>
      <c r="L405" s="39" t="str">
        <f t="shared" si="21"/>
        <v/>
      </c>
      <c r="M405" s="39" t="str">
        <f t="shared" si="22"/>
        <v>0</v>
      </c>
      <c r="N405" s="39" t="str">
        <f t="shared" si="23"/>
        <v xml:space="preserve"> ()</v>
      </c>
    </row>
    <row r="406" spans="1:14" x14ac:dyDescent="0.3">
      <c r="A406" s="34"/>
      <c r="B406" s="38"/>
      <c r="C406" s="34"/>
      <c r="D406" s="21"/>
      <c r="E406" s="21"/>
      <c r="G406" s="21"/>
      <c r="H406" s="21"/>
      <c r="I406" s="34"/>
      <c r="J406" s="34"/>
      <c r="K406" s="39">
        <f>VLOOKUP(A406,OPTIONS!A:C,3,FALSE)*G406</f>
        <v>0</v>
      </c>
      <c r="L406" s="39" t="str">
        <f t="shared" si="21"/>
        <v/>
      </c>
      <c r="M406" s="39" t="str">
        <f t="shared" si="22"/>
        <v>0</v>
      </c>
      <c r="N406" s="39" t="str">
        <f t="shared" si="23"/>
        <v xml:space="preserve"> ()</v>
      </c>
    </row>
    <row r="407" spans="1:14" x14ac:dyDescent="0.3">
      <c r="A407" s="34"/>
      <c r="B407" s="38"/>
      <c r="C407" s="34"/>
      <c r="D407" s="21"/>
      <c r="E407" s="21"/>
      <c r="G407" s="21"/>
      <c r="H407" s="21"/>
      <c r="I407" s="34"/>
      <c r="J407" s="34"/>
      <c r="K407" s="39">
        <f>VLOOKUP(A407,OPTIONS!A:C,3,FALSE)*G407</f>
        <v>0</v>
      </c>
      <c r="L407" s="39" t="str">
        <f t="shared" si="21"/>
        <v/>
      </c>
      <c r="M407" s="39" t="str">
        <f t="shared" si="22"/>
        <v>0</v>
      </c>
      <c r="N407" s="39" t="str">
        <f t="shared" si="23"/>
        <v xml:space="preserve"> ()</v>
      </c>
    </row>
    <row r="408" spans="1:14" x14ac:dyDescent="0.3">
      <c r="A408" s="34"/>
      <c r="B408" s="38"/>
      <c r="C408" s="34"/>
      <c r="D408" s="21"/>
      <c r="E408" s="21"/>
      <c r="G408" s="21"/>
      <c r="H408" s="21"/>
      <c r="I408" s="34"/>
      <c r="J408" s="34"/>
      <c r="K408" s="39">
        <f>VLOOKUP(A408,OPTIONS!A:C,3,FALSE)*G408</f>
        <v>0</v>
      </c>
      <c r="L408" s="39" t="str">
        <f t="shared" si="21"/>
        <v/>
      </c>
      <c r="M408" s="39" t="str">
        <f t="shared" si="22"/>
        <v>0</v>
      </c>
      <c r="N408" s="39" t="str">
        <f t="shared" si="23"/>
        <v xml:space="preserve"> ()</v>
      </c>
    </row>
    <row r="409" spans="1:14" x14ac:dyDescent="0.3">
      <c r="A409" s="34"/>
      <c r="B409" s="38"/>
      <c r="C409" s="34"/>
      <c r="D409" s="21"/>
      <c r="E409" s="21"/>
      <c r="G409" s="21"/>
      <c r="H409" s="21"/>
      <c r="I409" s="34"/>
      <c r="J409" s="34"/>
      <c r="K409" s="39">
        <f>VLOOKUP(A409,OPTIONS!A:C,3,FALSE)*G409</f>
        <v>0</v>
      </c>
      <c r="L409" s="39" t="str">
        <f t="shared" ref="L409:L472" si="24">TRIM(CONCATENATE(G409," ", $H409, " ", $E409))</f>
        <v/>
      </c>
      <c r="M409" s="39" t="str">
        <f t="shared" ref="M409:M472" si="25">TRIM(CONCATENATE(K409," ", $H409, " ", $E409))</f>
        <v>0</v>
      </c>
      <c r="N409" s="39" t="str">
        <f t="shared" ref="N409:N472" si="26">CONCATENATE(E409, " (", TRIM(H409), ")")</f>
        <v xml:space="preserve"> ()</v>
      </c>
    </row>
    <row r="410" spans="1:14" x14ac:dyDescent="0.3">
      <c r="A410" s="34"/>
      <c r="B410" s="38"/>
      <c r="C410" s="34"/>
      <c r="D410" s="21"/>
      <c r="E410" s="21"/>
      <c r="G410" s="21"/>
      <c r="H410" s="21"/>
      <c r="I410" s="34"/>
      <c r="J410" s="34"/>
      <c r="K410" s="39">
        <f>VLOOKUP(A410,OPTIONS!A:C,3,FALSE)*G410</f>
        <v>0</v>
      </c>
      <c r="L410" s="39" t="str">
        <f t="shared" si="24"/>
        <v/>
      </c>
      <c r="M410" s="39" t="str">
        <f t="shared" si="25"/>
        <v>0</v>
      </c>
      <c r="N410" s="39" t="str">
        <f t="shared" si="26"/>
        <v xml:space="preserve"> ()</v>
      </c>
    </row>
    <row r="411" spans="1:14" x14ac:dyDescent="0.3">
      <c r="A411" s="34"/>
      <c r="B411" s="38"/>
      <c r="C411" s="34"/>
      <c r="D411" s="21"/>
      <c r="E411" s="21"/>
      <c r="G411" s="21"/>
      <c r="H411" s="21"/>
      <c r="I411" s="34"/>
      <c r="J411" s="34"/>
      <c r="K411" s="39">
        <f>VLOOKUP(A411,OPTIONS!A:C,3,FALSE)*G411</f>
        <v>0</v>
      </c>
      <c r="L411" s="39" t="str">
        <f t="shared" si="24"/>
        <v/>
      </c>
      <c r="M411" s="39" t="str">
        <f t="shared" si="25"/>
        <v>0</v>
      </c>
      <c r="N411" s="39" t="str">
        <f t="shared" si="26"/>
        <v xml:space="preserve"> ()</v>
      </c>
    </row>
    <row r="412" spans="1:14" x14ac:dyDescent="0.3">
      <c r="A412" s="34"/>
      <c r="B412" s="38"/>
      <c r="C412" s="34"/>
      <c r="D412" s="21"/>
      <c r="E412" s="21"/>
      <c r="G412" s="21"/>
      <c r="H412" s="21"/>
      <c r="I412" s="34"/>
      <c r="J412" s="34"/>
      <c r="K412" s="39">
        <f>VLOOKUP(A412,OPTIONS!A:C,3,FALSE)*G412</f>
        <v>0</v>
      </c>
      <c r="L412" s="39" t="str">
        <f t="shared" si="24"/>
        <v/>
      </c>
      <c r="M412" s="39" t="str">
        <f t="shared" si="25"/>
        <v>0</v>
      </c>
      <c r="N412" s="39" t="str">
        <f t="shared" si="26"/>
        <v xml:space="preserve"> ()</v>
      </c>
    </row>
    <row r="413" spans="1:14" x14ac:dyDescent="0.3">
      <c r="A413" s="34"/>
      <c r="B413" s="38"/>
      <c r="C413" s="34"/>
      <c r="D413" s="21"/>
      <c r="E413" s="21"/>
      <c r="G413" s="21"/>
      <c r="H413" s="21"/>
      <c r="I413" s="34"/>
      <c r="J413" s="34"/>
      <c r="K413" s="39">
        <f>VLOOKUP(A413,OPTIONS!A:C,3,FALSE)*G413</f>
        <v>0</v>
      </c>
      <c r="L413" s="39" t="str">
        <f t="shared" si="24"/>
        <v/>
      </c>
      <c r="M413" s="39" t="str">
        <f t="shared" si="25"/>
        <v>0</v>
      </c>
      <c r="N413" s="39" t="str">
        <f t="shared" si="26"/>
        <v xml:space="preserve"> ()</v>
      </c>
    </row>
    <row r="414" spans="1:14" x14ac:dyDescent="0.3">
      <c r="A414" s="34"/>
      <c r="B414" s="38"/>
      <c r="C414" s="34"/>
      <c r="D414" s="21"/>
      <c r="E414" s="21"/>
      <c r="G414" s="21"/>
      <c r="H414" s="21"/>
      <c r="I414" s="34"/>
      <c r="J414" s="34"/>
      <c r="K414" s="39">
        <f>VLOOKUP(A414,OPTIONS!A:C,3,FALSE)*G414</f>
        <v>0</v>
      </c>
      <c r="L414" s="39" t="str">
        <f t="shared" si="24"/>
        <v/>
      </c>
      <c r="M414" s="39" t="str">
        <f t="shared" si="25"/>
        <v>0</v>
      </c>
      <c r="N414" s="39" t="str">
        <f t="shared" si="26"/>
        <v xml:space="preserve"> ()</v>
      </c>
    </row>
    <row r="415" spans="1:14" x14ac:dyDescent="0.3">
      <c r="A415" s="34"/>
      <c r="B415" s="38"/>
      <c r="C415" s="34"/>
      <c r="D415" s="21"/>
      <c r="E415" s="21"/>
      <c r="G415" s="21"/>
      <c r="H415" s="21"/>
      <c r="I415" s="34"/>
      <c r="J415" s="34"/>
      <c r="K415" s="39">
        <f>VLOOKUP(A415,OPTIONS!A:C,3,FALSE)*G415</f>
        <v>0</v>
      </c>
      <c r="L415" s="39" t="str">
        <f t="shared" si="24"/>
        <v/>
      </c>
      <c r="M415" s="39" t="str">
        <f t="shared" si="25"/>
        <v>0</v>
      </c>
      <c r="N415" s="39" t="str">
        <f t="shared" si="26"/>
        <v xml:space="preserve"> ()</v>
      </c>
    </row>
    <row r="416" spans="1:14" x14ac:dyDescent="0.3">
      <c r="A416" s="34"/>
      <c r="B416" s="38"/>
      <c r="C416" s="34"/>
      <c r="D416" s="21"/>
      <c r="E416" s="21"/>
      <c r="G416" s="21"/>
      <c r="H416" s="21"/>
      <c r="I416" s="34"/>
      <c r="J416" s="34"/>
      <c r="K416" s="39">
        <f>VLOOKUP(A416,OPTIONS!A:C,3,FALSE)*G416</f>
        <v>0</v>
      </c>
      <c r="L416" s="39" t="str">
        <f t="shared" si="24"/>
        <v/>
      </c>
      <c r="M416" s="39" t="str">
        <f t="shared" si="25"/>
        <v>0</v>
      </c>
      <c r="N416" s="39" t="str">
        <f t="shared" si="26"/>
        <v xml:space="preserve"> ()</v>
      </c>
    </row>
    <row r="417" spans="1:14" x14ac:dyDescent="0.3">
      <c r="A417" s="34"/>
      <c r="B417" s="38"/>
      <c r="C417" s="34"/>
      <c r="D417" s="21"/>
      <c r="E417" s="21"/>
      <c r="G417" s="21"/>
      <c r="H417" s="21"/>
      <c r="I417" s="34"/>
      <c r="J417" s="34"/>
      <c r="K417" s="39">
        <f>VLOOKUP(A417,OPTIONS!A:C,3,FALSE)*G417</f>
        <v>0</v>
      </c>
      <c r="L417" s="39" t="str">
        <f t="shared" si="24"/>
        <v/>
      </c>
      <c r="M417" s="39" t="str">
        <f t="shared" si="25"/>
        <v>0</v>
      </c>
      <c r="N417" s="39" t="str">
        <f t="shared" si="26"/>
        <v xml:space="preserve"> ()</v>
      </c>
    </row>
    <row r="418" spans="1:14" x14ac:dyDescent="0.3">
      <c r="A418" s="34"/>
      <c r="B418" s="38"/>
      <c r="C418" s="34"/>
      <c r="D418" s="21"/>
      <c r="E418" s="21"/>
      <c r="G418" s="21"/>
      <c r="H418" s="21"/>
      <c r="I418" s="34"/>
      <c r="J418" s="34"/>
      <c r="K418" s="39">
        <f>VLOOKUP(A418,OPTIONS!A:C,3,FALSE)*G418</f>
        <v>0</v>
      </c>
      <c r="L418" s="39" t="str">
        <f t="shared" si="24"/>
        <v/>
      </c>
      <c r="M418" s="39" t="str">
        <f t="shared" si="25"/>
        <v>0</v>
      </c>
      <c r="N418" s="39" t="str">
        <f t="shared" si="26"/>
        <v xml:space="preserve"> ()</v>
      </c>
    </row>
    <row r="419" spans="1:14" x14ac:dyDescent="0.3">
      <c r="A419" s="34"/>
      <c r="B419" s="38"/>
      <c r="C419" s="34"/>
      <c r="D419" s="21"/>
      <c r="E419" s="21"/>
      <c r="G419" s="21"/>
      <c r="H419" s="21"/>
      <c r="I419" s="34"/>
      <c r="J419" s="34"/>
      <c r="K419" s="39">
        <f>VLOOKUP(A419,OPTIONS!A:C,3,FALSE)*G419</f>
        <v>0</v>
      </c>
      <c r="L419" s="39" t="str">
        <f t="shared" si="24"/>
        <v/>
      </c>
      <c r="M419" s="39" t="str">
        <f t="shared" si="25"/>
        <v>0</v>
      </c>
      <c r="N419" s="39" t="str">
        <f t="shared" si="26"/>
        <v xml:space="preserve"> ()</v>
      </c>
    </row>
    <row r="420" spans="1:14" x14ac:dyDescent="0.3">
      <c r="A420" s="34"/>
      <c r="B420" s="38"/>
      <c r="C420" s="34"/>
      <c r="D420" s="21"/>
      <c r="E420" s="21"/>
      <c r="G420" s="21"/>
      <c r="H420" s="21"/>
      <c r="I420" s="34"/>
      <c r="J420" s="34"/>
      <c r="K420" s="39">
        <f>VLOOKUP(A420,OPTIONS!A:C,3,FALSE)*G420</f>
        <v>0</v>
      </c>
      <c r="L420" s="39" t="str">
        <f t="shared" si="24"/>
        <v/>
      </c>
      <c r="M420" s="39" t="str">
        <f t="shared" si="25"/>
        <v>0</v>
      </c>
      <c r="N420" s="39" t="str">
        <f t="shared" si="26"/>
        <v xml:space="preserve"> ()</v>
      </c>
    </row>
    <row r="421" spans="1:14" x14ac:dyDescent="0.3">
      <c r="A421" s="34"/>
      <c r="B421" s="38"/>
      <c r="C421" s="34"/>
      <c r="D421" s="21"/>
      <c r="E421" s="21"/>
      <c r="G421" s="21"/>
      <c r="H421" s="21"/>
      <c r="I421" s="34"/>
      <c r="J421" s="34"/>
      <c r="K421" s="39">
        <f>VLOOKUP(A421,OPTIONS!A:C,3,FALSE)*G421</f>
        <v>0</v>
      </c>
      <c r="L421" s="39" t="str">
        <f t="shared" si="24"/>
        <v/>
      </c>
      <c r="M421" s="39" t="str">
        <f t="shared" si="25"/>
        <v>0</v>
      </c>
      <c r="N421" s="39" t="str">
        <f t="shared" si="26"/>
        <v xml:space="preserve"> ()</v>
      </c>
    </row>
    <row r="422" spans="1:14" x14ac:dyDescent="0.3">
      <c r="A422" s="34"/>
      <c r="B422" s="38"/>
      <c r="C422" s="34"/>
      <c r="D422" s="21"/>
      <c r="E422" s="21"/>
      <c r="G422" s="21"/>
      <c r="H422" s="21"/>
      <c r="I422" s="34"/>
      <c r="J422" s="34"/>
      <c r="K422" s="39">
        <f>VLOOKUP(A422,OPTIONS!A:C,3,FALSE)*G422</f>
        <v>0</v>
      </c>
      <c r="L422" s="39" t="str">
        <f t="shared" si="24"/>
        <v/>
      </c>
      <c r="M422" s="39" t="str">
        <f t="shared" si="25"/>
        <v>0</v>
      </c>
      <c r="N422" s="39" t="str">
        <f t="shared" si="26"/>
        <v xml:space="preserve"> ()</v>
      </c>
    </row>
    <row r="423" spans="1:14" x14ac:dyDescent="0.3">
      <c r="A423" s="34"/>
      <c r="B423" s="38"/>
      <c r="C423" s="34"/>
      <c r="D423" s="21"/>
      <c r="E423" s="21"/>
      <c r="G423" s="21"/>
      <c r="H423" s="21"/>
      <c r="I423" s="34"/>
      <c r="J423" s="34"/>
      <c r="K423" s="39">
        <f>VLOOKUP(A423,OPTIONS!A:C,3,FALSE)*G423</f>
        <v>0</v>
      </c>
      <c r="L423" s="39" t="str">
        <f t="shared" si="24"/>
        <v/>
      </c>
      <c r="M423" s="39" t="str">
        <f t="shared" si="25"/>
        <v>0</v>
      </c>
      <c r="N423" s="39" t="str">
        <f t="shared" si="26"/>
        <v xml:space="preserve"> ()</v>
      </c>
    </row>
    <row r="424" spans="1:14" x14ac:dyDescent="0.3">
      <c r="A424" s="34"/>
      <c r="B424" s="38"/>
      <c r="C424" s="34"/>
      <c r="D424" s="21"/>
      <c r="E424" s="21"/>
      <c r="G424" s="21"/>
      <c r="H424" s="21"/>
      <c r="I424" s="34"/>
      <c r="J424" s="34"/>
      <c r="K424" s="39">
        <f>VLOOKUP(A424,OPTIONS!A:C,3,FALSE)*G424</f>
        <v>0</v>
      </c>
      <c r="L424" s="39" t="str">
        <f t="shared" si="24"/>
        <v/>
      </c>
      <c r="M424" s="39" t="str">
        <f t="shared" si="25"/>
        <v>0</v>
      </c>
      <c r="N424" s="39" t="str">
        <f t="shared" si="26"/>
        <v xml:space="preserve"> ()</v>
      </c>
    </row>
    <row r="425" spans="1:14" x14ac:dyDescent="0.3">
      <c r="A425" s="34"/>
      <c r="B425" s="38"/>
      <c r="C425" s="34"/>
      <c r="D425" s="21"/>
      <c r="E425" s="21"/>
      <c r="G425" s="21"/>
      <c r="H425" s="21"/>
      <c r="I425" s="34"/>
      <c r="J425" s="34"/>
      <c r="K425" s="39">
        <f>VLOOKUP(A425,OPTIONS!A:C,3,FALSE)*G425</f>
        <v>0</v>
      </c>
      <c r="L425" s="39" t="str">
        <f t="shared" si="24"/>
        <v/>
      </c>
      <c r="M425" s="39" t="str">
        <f t="shared" si="25"/>
        <v>0</v>
      </c>
      <c r="N425" s="39" t="str">
        <f t="shared" si="26"/>
        <v xml:space="preserve"> ()</v>
      </c>
    </row>
    <row r="426" spans="1:14" x14ac:dyDescent="0.3">
      <c r="A426" s="34"/>
      <c r="B426" s="38"/>
      <c r="C426" s="34"/>
      <c r="D426" s="21"/>
      <c r="E426" s="21"/>
      <c r="G426" s="21"/>
      <c r="H426" s="21"/>
      <c r="I426" s="34"/>
      <c r="J426" s="34"/>
      <c r="K426" s="39">
        <f>VLOOKUP(A426,OPTIONS!A:C,3,FALSE)*G426</f>
        <v>0</v>
      </c>
      <c r="L426" s="39" t="str">
        <f t="shared" si="24"/>
        <v/>
      </c>
      <c r="M426" s="39" t="str">
        <f t="shared" si="25"/>
        <v>0</v>
      </c>
      <c r="N426" s="39" t="str">
        <f t="shared" si="26"/>
        <v xml:space="preserve"> ()</v>
      </c>
    </row>
    <row r="427" spans="1:14" x14ac:dyDescent="0.3">
      <c r="A427" s="34"/>
      <c r="B427" s="38"/>
      <c r="C427" s="34"/>
      <c r="D427" s="21"/>
      <c r="E427" s="21"/>
      <c r="G427" s="21"/>
      <c r="H427" s="21"/>
      <c r="I427" s="34"/>
      <c r="J427" s="34"/>
      <c r="K427" s="39">
        <f>VLOOKUP(A427,OPTIONS!A:C,3,FALSE)*G427</f>
        <v>0</v>
      </c>
      <c r="L427" s="39" t="str">
        <f t="shared" si="24"/>
        <v/>
      </c>
      <c r="M427" s="39" t="str">
        <f t="shared" si="25"/>
        <v>0</v>
      </c>
      <c r="N427" s="39" t="str">
        <f t="shared" si="26"/>
        <v xml:space="preserve"> ()</v>
      </c>
    </row>
    <row r="428" spans="1:14" x14ac:dyDescent="0.3">
      <c r="A428" s="34"/>
      <c r="B428" s="38"/>
      <c r="C428" s="34"/>
      <c r="D428" s="21"/>
      <c r="E428" s="21"/>
      <c r="G428" s="21"/>
      <c r="H428" s="21"/>
      <c r="I428" s="34"/>
      <c r="J428" s="34"/>
      <c r="K428" s="39">
        <f>VLOOKUP(A428,OPTIONS!A:C,3,FALSE)*G428</f>
        <v>0</v>
      </c>
      <c r="L428" s="39" t="str">
        <f t="shared" si="24"/>
        <v/>
      </c>
      <c r="M428" s="39" t="str">
        <f t="shared" si="25"/>
        <v>0</v>
      </c>
      <c r="N428" s="39" t="str">
        <f t="shared" si="26"/>
        <v xml:space="preserve"> ()</v>
      </c>
    </row>
    <row r="429" spans="1:14" x14ac:dyDescent="0.3">
      <c r="A429" s="34"/>
      <c r="B429" s="38"/>
      <c r="C429" s="34"/>
      <c r="D429" s="21"/>
      <c r="E429" s="21"/>
      <c r="G429" s="21"/>
      <c r="H429" s="21"/>
      <c r="I429" s="34"/>
      <c r="J429" s="34"/>
      <c r="K429" s="39">
        <f>VLOOKUP(A429,OPTIONS!A:C,3,FALSE)*G429</f>
        <v>0</v>
      </c>
      <c r="L429" s="39" t="str">
        <f t="shared" si="24"/>
        <v/>
      </c>
      <c r="M429" s="39" t="str">
        <f t="shared" si="25"/>
        <v>0</v>
      </c>
      <c r="N429" s="39" t="str">
        <f t="shared" si="26"/>
        <v xml:space="preserve"> ()</v>
      </c>
    </row>
    <row r="430" spans="1:14" x14ac:dyDescent="0.3">
      <c r="A430" s="34"/>
      <c r="B430" s="38"/>
      <c r="C430" s="34"/>
      <c r="D430" s="21"/>
      <c r="E430" s="21"/>
      <c r="G430" s="21"/>
      <c r="H430" s="21"/>
      <c r="I430" s="34"/>
      <c r="J430" s="34"/>
      <c r="K430" s="39">
        <f>VLOOKUP(A430,OPTIONS!A:C,3,FALSE)*G430</f>
        <v>0</v>
      </c>
      <c r="L430" s="39" t="str">
        <f t="shared" si="24"/>
        <v/>
      </c>
      <c r="M430" s="39" t="str">
        <f t="shared" si="25"/>
        <v>0</v>
      </c>
      <c r="N430" s="39" t="str">
        <f t="shared" si="26"/>
        <v xml:space="preserve"> ()</v>
      </c>
    </row>
    <row r="431" spans="1:14" x14ac:dyDescent="0.3">
      <c r="A431" s="34"/>
      <c r="B431" s="38"/>
      <c r="C431" s="34"/>
      <c r="D431" s="21"/>
      <c r="E431" s="21"/>
      <c r="G431" s="21"/>
      <c r="H431" s="21"/>
      <c r="I431" s="34"/>
      <c r="J431" s="34"/>
      <c r="K431" s="39">
        <f>VLOOKUP(A431,OPTIONS!A:C,3,FALSE)*G431</f>
        <v>0</v>
      </c>
      <c r="L431" s="39" t="str">
        <f t="shared" si="24"/>
        <v/>
      </c>
      <c r="M431" s="39" t="str">
        <f t="shared" si="25"/>
        <v>0</v>
      </c>
      <c r="N431" s="39" t="str">
        <f t="shared" si="26"/>
        <v xml:space="preserve"> ()</v>
      </c>
    </row>
    <row r="432" spans="1:14" x14ac:dyDescent="0.3">
      <c r="A432" s="34"/>
      <c r="B432" s="38"/>
      <c r="C432" s="34"/>
      <c r="D432" s="21"/>
      <c r="E432" s="21"/>
      <c r="G432" s="21"/>
      <c r="H432" s="21"/>
      <c r="I432" s="34"/>
      <c r="J432" s="34"/>
      <c r="K432" s="39">
        <f>VLOOKUP(A432,OPTIONS!A:C,3,FALSE)*G432</f>
        <v>0</v>
      </c>
      <c r="L432" s="39" t="str">
        <f t="shared" si="24"/>
        <v/>
      </c>
      <c r="M432" s="39" t="str">
        <f t="shared" si="25"/>
        <v>0</v>
      </c>
      <c r="N432" s="39" t="str">
        <f t="shared" si="26"/>
        <v xml:space="preserve"> ()</v>
      </c>
    </row>
    <row r="433" spans="1:14" x14ac:dyDescent="0.3">
      <c r="A433" s="34"/>
      <c r="B433" s="38"/>
      <c r="C433" s="34"/>
      <c r="D433" s="21"/>
      <c r="E433" s="21"/>
      <c r="G433" s="21"/>
      <c r="H433" s="21"/>
      <c r="I433" s="34"/>
      <c r="J433" s="34"/>
      <c r="K433" s="39">
        <f>VLOOKUP(A433,OPTIONS!A:C,3,FALSE)*G433</f>
        <v>0</v>
      </c>
      <c r="L433" s="39" t="str">
        <f t="shared" si="24"/>
        <v/>
      </c>
      <c r="M433" s="39" t="str">
        <f t="shared" si="25"/>
        <v>0</v>
      </c>
      <c r="N433" s="39" t="str">
        <f t="shared" si="26"/>
        <v xml:space="preserve"> ()</v>
      </c>
    </row>
    <row r="434" spans="1:14" x14ac:dyDescent="0.3">
      <c r="A434" s="34"/>
      <c r="B434" s="38"/>
      <c r="C434" s="34"/>
      <c r="D434" s="21"/>
      <c r="E434" s="21"/>
      <c r="G434" s="21"/>
      <c r="H434" s="21"/>
      <c r="I434" s="34"/>
      <c r="J434" s="34"/>
      <c r="K434" s="39">
        <f>VLOOKUP(A434,OPTIONS!A:C,3,FALSE)*G434</f>
        <v>0</v>
      </c>
      <c r="L434" s="39" t="str">
        <f t="shared" si="24"/>
        <v/>
      </c>
      <c r="M434" s="39" t="str">
        <f t="shared" si="25"/>
        <v>0</v>
      </c>
      <c r="N434" s="39" t="str">
        <f t="shared" si="26"/>
        <v xml:space="preserve"> ()</v>
      </c>
    </row>
    <row r="435" spans="1:14" x14ac:dyDescent="0.3">
      <c r="A435" s="34"/>
      <c r="B435" s="38"/>
      <c r="C435" s="34"/>
      <c r="D435" s="21"/>
      <c r="E435" s="21"/>
      <c r="G435" s="21"/>
      <c r="H435" s="21"/>
      <c r="I435" s="34"/>
      <c r="J435" s="34"/>
      <c r="K435" s="39">
        <f>VLOOKUP(A435,OPTIONS!A:C,3,FALSE)*G435</f>
        <v>0</v>
      </c>
      <c r="L435" s="39" t="str">
        <f t="shared" si="24"/>
        <v/>
      </c>
      <c r="M435" s="39" t="str">
        <f t="shared" si="25"/>
        <v>0</v>
      </c>
      <c r="N435" s="39" t="str">
        <f t="shared" si="26"/>
        <v xml:space="preserve"> ()</v>
      </c>
    </row>
    <row r="436" spans="1:14" x14ac:dyDescent="0.3">
      <c r="A436" s="34"/>
      <c r="B436" s="38"/>
      <c r="C436" s="34"/>
      <c r="D436" s="21"/>
      <c r="E436" s="21"/>
      <c r="G436" s="21"/>
      <c r="H436" s="21"/>
      <c r="I436" s="34"/>
      <c r="J436" s="34"/>
      <c r="K436" s="39">
        <f>VLOOKUP(A436,OPTIONS!A:C,3,FALSE)*G436</f>
        <v>0</v>
      </c>
      <c r="L436" s="39" t="str">
        <f t="shared" si="24"/>
        <v/>
      </c>
      <c r="M436" s="39" t="str">
        <f t="shared" si="25"/>
        <v>0</v>
      </c>
      <c r="N436" s="39" t="str">
        <f t="shared" si="26"/>
        <v xml:space="preserve"> ()</v>
      </c>
    </row>
    <row r="437" spans="1:14" x14ac:dyDescent="0.3">
      <c r="A437" s="34"/>
      <c r="B437" s="38"/>
      <c r="C437" s="34"/>
      <c r="D437" s="21"/>
      <c r="E437" s="21"/>
      <c r="G437" s="21"/>
      <c r="H437" s="21"/>
      <c r="I437" s="34"/>
      <c r="J437" s="34"/>
      <c r="K437" s="39">
        <f>VLOOKUP(A437,OPTIONS!A:C,3,FALSE)*G437</f>
        <v>0</v>
      </c>
      <c r="L437" s="39" t="str">
        <f t="shared" si="24"/>
        <v/>
      </c>
      <c r="M437" s="39" t="str">
        <f t="shared" si="25"/>
        <v>0</v>
      </c>
      <c r="N437" s="39" t="str">
        <f t="shared" si="26"/>
        <v xml:space="preserve"> ()</v>
      </c>
    </row>
    <row r="438" spans="1:14" x14ac:dyDescent="0.3">
      <c r="A438" s="34"/>
      <c r="B438" s="38"/>
      <c r="C438" s="34"/>
      <c r="D438" s="21"/>
      <c r="E438" s="21"/>
      <c r="G438" s="21"/>
      <c r="H438" s="21"/>
      <c r="I438" s="34"/>
      <c r="J438" s="34"/>
      <c r="K438" s="39">
        <f>VLOOKUP(A438,OPTIONS!A:C,3,FALSE)*G438</f>
        <v>0</v>
      </c>
      <c r="L438" s="39" t="str">
        <f t="shared" si="24"/>
        <v/>
      </c>
      <c r="M438" s="39" t="str">
        <f t="shared" si="25"/>
        <v>0</v>
      </c>
      <c r="N438" s="39" t="str">
        <f t="shared" si="26"/>
        <v xml:space="preserve"> ()</v>
      </c>
    </row>
    <row r="439" spans="1:14" x14ac:dyDescent="0.3">
      <c r="A439" s="34"/>
      <c r="B439" s="38"/>
      <c r="C439" s="34"/>
      <c r="D439" s="21"/>
      <c r="E439" s="21"/>
      <c r="G439" s="21"/>
      <c r="H439" s="21"/>
      <c r="I439" s="34"/>
      <c r="J439" s="34"/>
      <c r="K439" s="39">
        <f>VLOOKUP(A439,OPTIONS!A:C,3,FALSE)*G439</f>
        <v>0</v>
      </c>
      <c r="L439" s="39" t="str">
        <f t="shared" si="24"/>
        <v/>
      </c>
      <c r="M439" s="39" t="str">
        <f t="shared" si="25"/>
        <v>0</v>
      </c>
      <c r="N439" s="39" t="str">
        <f t="shared" si="26"/>
        <v xml:space="preserve"> ()</v>
      </c>
    </row>
    <row r="440" spans="1:14" x14ac:dyDescent="0.3">
      <c r="A440" s="34"/>
      <c r="B440" s="38"/>
      <c r="C440" s="34"/>
      <c r="D440" s="21"/>
      <c r="E440" s="21"/>
      <c r="G440" s="21"/>
      <c r="H440" s="21"/>
      <c r="I440" s="34"/>
      <c r="J440" s="34"/>
      <c r="K440" s="39">
        <f>VLOOKUP(A440,OPTIONS!A:C,3,FALSE)*G440</f>
        <v>0</v>
      </c>
      <c r="L440" s="39" t="str">
        <f t="shared" si="24"/>
        <v/>
      </c>
      <c r="M440" s="39" t="str">
        <f t="shared" si="25"/>
        <v>0</v>
      </c>
      <c r="N440" s="39" t="str">
        <f t="shared" si="26"/>
        <v xml:space="preserve"> ()</v>
      </c>
    </row>
    <row r="441" spans="1:14" x14ac:dyDescent="0.3">
      <c r="A441" s="34"/>
      <c r="B441" s="38"/>
      <c r="C441" s="34"/>
      <c r="D441" s="21"/>
      <c r="E441" s="21"/>
      <c r="G441" s="21"/>
      <c r="H441" s="21"/>
      <c r="I441" s="34"/>
      <c r="J441" s="34"/>
      <c r="K441" s="39">
        <f>VLOOKUP(A441,OPTIONS!A:C,3,FALSE)*G441</f>
        <v>0</v>
      </c>
      <c r="L441" s="39" t="str">
        <f t="shared" si="24"/>
        <v/>
      </c>
      <c r="M441" s="39" t="str">
        <f t="shared" si="25"/>
        <v>0</v>
      </c>
      <c r="N441" s="39" t="str">
        <f t="shared" si="26"/>
        <v xml:space="preserve"> ()</v>
      </c>
    </row>
    <row r="442" spans="1:14" x14ac:dyDescent="0.3">
      <c r="A442" s="34"/>
      <c r="B442" s="38"/>
      <c r="C442" s="34"/>
      <c r="D442" s="21"/>
      <c r="E442" s="21"/>
      <c r="G442" s="21"/>
      <c r="H442" s="21"/>
      <c r="I442" s="34"/>
      <c r="J442" s="34"/>
      <c r="K442" s="39">
        <f>VLOOKUP(A442,OPTIONS!A:C,3,FALSE)*G442</f>
        <v>0</v>
      </c>
      <c r="L442" s="39" t="str">
        <f t="shared" si="24"/>
        <v/>
      </c>
      <c r="M442" s="39" t="str">
        <f t="shared" si="25"/>
        <v>0</v>
      </c>
      <c r="N442" s="39" t="str">
        <f t="shared" si="26"/>
        <v xml:space="preserve"> ()</v>
      </c>
    </row>
    <row r="443" spans="1:14" x14ac:dyDescent="0.3">
      <c r="A443" s="34"/>
      <c r="B443" s="38"/>
      <c r="C443" s="34"/>
      <c r="D443" s="21"/>
      <c r="E443" s="21"/>
      <c r="G443" s="21"/>
      <c r="H443" s="21"/>
      <c r="I443" s="34"/>
      <c r="J443" s="34"/>
      <c r="K443" s="39">
        <f>VLOOKUP(A443,OPTIONS!A:C,3,FALSE)*G443</f>
        <v>0</v>
      </c>
      <c r="L443" s="39" t="str">
        <f t="shared" si="24"/>
        <v/>
      </c>
      <c r="M443" s="39" t="str">
        <f t="shared" si="25"/>
        <v>0</v>
      </c>
      <c r="N443" s="39" t="str">
        <f t="shared" si="26"/>
        <v xml:space="preserve"> ()</v>
      </c>
    </row>
    <row r="444" spans="1:14" x14ac:dyDescent="0.3">
      <c r="A444" s="34"/>
      <c r="B444" s="38"/>
      <c r="C444" s="34"/>
      <c r="D444" s="21"/>
      <c r="E444" s="21"/>
      <c r="G444" s="21"/>
      <c r="H444" s="21"/>
      <c r="I444" s="34"/>
      <c r="J444" s="34"/>
      <c r="K444" s="39">
        <f>VLOOKUP(A444,OPTIONS!A:C,3,FALSE)*G444</f>
        <v>0</v>
      </c>
      <c r="L444" s="39" t="str">
        <f t="shared" si="24"/>
        <v/>
      </c>
      <c r="M444" s="39" t="str">
        <f t="shared" si="25"/>
        <v>0</v>
      </c>
      <c r="N444" s="39" t="str">
        <f t="shared" si="26"/>
        <v xml:space="preserve"> ()</v>
      </c>
    </row>
    <row r="445" spans="1:14" x14ac:dyDescent="0.3">
      <c r="A445" s="34"/>
      <c r="B445" s="38"/>
      <c r="C445" s="34"/>
      <c r="D445" s="21"/>
      <c r="E445" s="21"/>
      <c r="G445" s="21"/>
      <c r="H445" s="21"/>
      <c r="I445" s="34"/>
      <c r="J445" s="34"/>
      <c r="K445" s="39">
        <f>VLOOKUP(A445,OPTIONS!A:C,3,FALSE)*G445</f>
        <v>0</v>
      </c>
      <c r="L445" s="39" t="str">
        <f t="shared" si="24"/>
        <v/>
      </c>
      <c r="M445" s="39" t="str">
        <f t="shared" si="25"/>
        <v>0</v>
      </c>
      <c r="N445" s="39" t="str">
        <f t="shared" si="26"/>
        <v xml:space="preserve"> ()</v>
      </c>
    </row>
    <row r="446" spans="1:14" x14ac:dyDescent="0.3">
      <c r="A446" s="34"/>
      <c r="B446" s="38"/>
      <c r="C446" s="34"/>
      <c r="D446" s="21"/>
      <c r="E446" s="21"/>
      <c r="G446" s="21"/>
      <c r="H446" s="21"/>
      <c r="I446" s="34"/>
      <c r="J446" s="34"/>
      <c r="K446" s="39">
        <f>VLOOKUP(A446,OPTIONS!A:C,3,FALSE)*G446</f>
        <v>0</v>
      </c>
      <c r="L446" s="39" t="str">
        <f t="shared" si="24"/>
        <v/>
      </c>
      <c r="M446" s="39" t="str">
        <f t="shared" si="25"/>
        <v>0</v>
      </c>
      <c r="N446" s="39" t="str">
        <f t="shared" si="26"/>
        <v xml:space="preserve"> ()</v>
      </c>
    </row>
    <row r="447" spans="1:14" x14ac:dyDescent="0.3">
      <c r="A447" s="34"/>
      <c r="B447" s="38"/>
      <c r="C447" s="34"/>
      <c r="D447" s="21"/>
      <c r="E447" s="21"/>
      <c r="G447" s="21"/>
      <c r="H447" s="21"/>
      <c r="I447" s="34"/>
      <c r="J447" s="34"/>
      <c r="K447" s="39">
        <f>VLOOKUP(A447,OPTIONS!A:C,3,FALSE)*G447</f>
        <v>0</v>
      </c>
      <c r="L447" s="39" t="str">
        <f t="shared" si="24"/>
        <v/>
      </c>
      <c r="M447" s="39" t="str">
        <f t="shared" si="25"/>
        <v>0</v>
      </c>
      <c r="N447" s="39" t="str">
        <f t="shared" si="26"/>
        <v xml:space="preserve"> ()</v>
      </c>
    </row>
    <row r="448" spans="1:14" x14ac:dyDescent="0.3">
      <c r="A448" s="34"/>
      <c r="B448" s="38"/>
      <c r="C448" s="34"/>
      <c r="D448" s="21"/>
      <c r="E448" s="21"/>
      <c r="G448" s="21"/>
      <c r="H448" s="21"/>
      <c r="I448" s="34"/>
      <c r="J448" s="34"/>
      <c r="K448" s="39">
        <f>VLOOKUP(A448,OPTIONS!A:C,3,FALSE)*G448</f>
        <v>0</v>
      </c>
      <c r="L448" s="39" t="str">
        <f t="shared" si="24"/>
        <v/>
      </c>
      <c r="M448" s="39" t="str">
        <f t="shared" si="25"/>
        <v>0</v>
      </c>
      <c r="N448" s="39" t="str">
        <f t="shared" si="26"/>
        <v xml:space="preserve"> ()</v>
      </c>
    </row>
    <row r="449" spans="1:14" x14ac:dyDescent="0.3">
      <c r="A449" s="34"/>
      <c r="B449" s="38"/>
      <c r="C449" s="34"/>
      <c r="D449" s="21"/>
      <c r="E449" s="21"/>
      <c r="G449" s="21"/>
      <c r="H449" s="21"/>
      <c r="I449" s="34"/>
      <c r="J449" s="34"/>
      <c r="K449" s="39">
        <f>VLOOKUP(A449,OPTIONS!A:C,3,FALSE)*G449</f>
        <v>0</v>
      </c>
      <c r="L449" s="39" t="str">
        <f t="shared" si="24"/>
        <v/>
      </c>
      <c r="M449" s="39" t="str">
        <f t="shared" si="25"/>
        <v>0</v>
      </c>
      <c r="N449" s="39" t="str">
        <f t="shared" si="26"/>
        <v xml:space="preserve"> ()</v>
      </c>
    </row>
    <row r="450" spans="1:14" x14ac:dyDescent="0.3">
      <c r="A450" s="34"/>
      <c r="B450" s="38"/>
      <c r="C450" s="34"/>
      <c r="D450" s="21"/>
      <c r="E450" s="21"/>
      <c r="G450" s="21"/>
      <c r="H450" s="21"/>
      <c r="I450" s="34"/>
      <c r="J450" s="34"/>
      <c r="K450" s="39">
        <f>VLOOKUP(A450,OPTIONS!A:C,3,FALSE)*G450</f>
        <v>0</v>
      </c>
      <c r="L450" s="39" t="str">
        <f t="shared" si="24"/>
        <v/>
      </c>
      <c r="M450" s="39" t="str">
        <f t="shared" si="25"/>
        <v>0</v>
      </c>
      <c r="N450" s="39" t="str">
        <f t="shared" si="26"/>
        <v xml:space="preserve"> ()</v>
      </c>
    </row>
    <row r="451" spans="1:14" x14ac:dyDescent="0.3">
      <c r="A451" s="34"/>
      <c r="B451" s="38"/>
      <c r="C451" s="34"/>
      <c r="D451" s="21"/>
      <c r="E451" s="21"/>
      <c r="G451" s="21"/>
      <c r="H451" s="21"/>
      <c r="I451" s="34"/>
      <c r="J451" s="34"/>
      <c r="K451" s="39">
        <f>VLOOKUP(A451,OPTIONS!A:C,3,FALSE)*G451</f>
        <v>0</v>
      </c>
      <c r="L451" s="39" t="str">
        <f t="shared" si="24"/>
        <v/>
      </c>
      <c r="M451" s="39" t="str">
        <f t="shared" si="25"/>
        <v>0</v>
      </c>
      <c r="N451" s="39" t="str">
        <f t="shared" si="26"/>
        <v xml:space="preserve"> ()</v>
      </c>
    </row>
    <row r="452" spans="1:14" x14ac:dyDescent="0.3">
      <c r="A452" s="34"/>
      <c r="B452" s="38"/>
      <c r="C452" s="34"/>
      <c r="D452" s="21"/>
      <c r="E452" s="21"/>
      <c r="G452" s="21"/>
      <c r="H452" s="21"/>
      <c r="I452" s="34"/>
      <c r="J452" s="34"/>
      <c r="K452" s="39">
        <f>VLOOKUP(A452,OPTIONS!A:C,3,FALSE)*G452</f>
        <v>0</v>
      </c>
      <c r="L452" s="39" t="str">
        <f t="shared" si="24"/>
        <v/>
      </c>
      <c r="M452" s="39" t="str">
        <f t="shared" si="25"/>
        <v>0</v>
      </c>
      <c r="N452" s="39" t="str">
        <f t="shared" si="26"/>
        <v xml:space="preserve"> ()</v>
      </c>
    </row>
    <row r="453" spans="1:14" x14ac:dyDescent="0.3">
      <c r="A453" s="34"/>
      <c r="B453" s="38"/>
      <c r="C453" s="34"/>
      <c r="D453" s="21"/>
      <c r="E453" s="21"/>
      <c r="G453" s="21"/>
      <c r="H453" s="21"/>
      <c r="I453" s="34"/>
      <c r="J453" s="34"/>
      <c r="K453" s="39">
        <f>VLOOKUP(A453,OPTIONS!A:C,3,FALSE)*G453</f>
        <v>0</v>
      </c>
      <c r="L453" s="39" t="str">
        <f t="shared" si="24"/>
        <v/>
      </c>
      <c r="M453" s="39" t="str">
        <f t="shared" si="25"/>
        <v>0</v>
      </c>
      <c r="N453" s="39" t="str">
        <f t="shared" si="26"/>
        <v xml:space="preserve"> ()</v>
      </c>
    </row>
    <row r="454" spans="1:14" x14ac:dyDescent="0.3">
      <c r="A454" s="34"/>
      <c r="B454" s="38"/>
      <c r="C454" s="34"/>
      <c r="D454" s="21"/>
      <c r="E454" s="21"/>
      <c r="G454" s="21"/>
      <c r="H454" s="21"/>
      <c r="I454" s="34"/>
      <c r="J454" s="34"/>
      <c r="K454" s="39">
        <f>VLOOKUP(A454,OPTIONS!A:C,3,FALSE)*G454</f>
        <v>0</v>
      </c>
      <c r="L454" s="39" t="str">
        <f t="shared" si="24"/>
        <v/>
      </c>
      <c r="M454" s="39" t="str">
        <f t="shared" si="25"/>
        <v>0</v>
      </c>
      <c r="N454" s="39" t="str">
        <f t="shared" si="26"/>
        <v xml:space="preserve"> ()</v>
      </c>
    </row>
    <row r="455" spans="1:14" x14ac:dyDescent="0.3">
      <c r="A455" s="34"/>
      <c r="B455" s="38"/>
      <c r="C455" s="34"/>
      <c r="D455" s="21"/>
      <c r="E455" s="21"/>
      <c r="G455" s="21"/>
      <c r="H455" s="21"/>
      <c r="I455" s="34"/>
      <c r="J455" s="34"/>
      <c r="K455" s="39">
        <f>VLOOKUP(A455,OPTIONS!A:C,3,FALSE)*G455</f>
        <v>0</v>
      </c>
      <c r="L455" s="39" t="str">
        <f t="shared" si="24"/>
        <v/>
      </c>
      <c r="M455" s="39" t="str">
        <f t="shared" si="25"/>
        <v>0</v>
      </c>
      <c r="N455" s="39" t="str">
        <f t="shared" si="26"/>
        <v xml:space="preserve"> ()</v>
      </c>
    </row>
    <row r="456" spans="1:14" x14ac:dyDescent="0.3">
      <c r="A456" s="34"/>
      <c r="B456" s="38"/>
      <c r="C456" s="34"/>
      <c r="D456" s="21"/>
      <c r="E456" s="21"/>
      <c r="G456" s="21"/>
      <c r="H456" s="21"/>
      <c r="I456" s="34"/>
      <c r="J456" s="34"/>
      <c r="K456" s="39">
        <f>VLOOKUP(A456,OPTIONS!A:C,3,FALSE)*G456</f>
        <v>0</v>
      </c>
      <c r="L456" s="39" t="str">
        <f t="shared" si="24"/>
        <v/>
      </c>
      <c r="M456" s="39" t="str">
        <f t="shared" si="25"/>
        <v>0</v>
      </c>
      <c r="N456" s="39" t="str">
        <f t="shared" si="26"/>
        <v xml:space="preserve"> ()</v>
      </c>
    </row>
    <row r="457" spans="1:14" x14ac:dyDescent="0.3">
      <c r="A457" s="34"/>
      <c r="B457" s="38"/>
      <c r="C457" s="34"/>
      <c r="D457" s="21"/>
      <c r="E457" s="21"/>
      <c r="G457" s="21"/>
      <c r="H457" s="21"/>
      <c r="I457" s="34"/>
      <c r="J457" s="34"/>
      <c r="K457" s="39">
        <f>VLOOKUP(A457,OPTIONS!A:C,3,FALSE)*G457</f>
        <v>0</v>
      </c>
      <c r="L457" s="39" t="str">
        <f t="shared" si="24"/>
        <v/>
      </c>
      <c r="M457" s="39" t="str">
        <f t="shared" si="25"/>
        <v>0</v>
      </c>
      <c r="N457" s="39" t="str">
        <f t="shared" si="26"/>
        <v xml:space="preserve"> ()</v>
      </c>
    </row>
    <row r="458" spans="1:14" x14ac:dyDescent="0.3">
      <c r="A458" s="34"/>
      <c r="B458" s="38"/>
      <c r="C458" s="34"/>
      <c r="D458" s="21"/>
      <c r="E458" s="21"/>
      <c r="G458" s="21"/>
      <c r="H458" s="21"/>
      <c r="I458" s="34"/>
      <c r="J458" s="34"/>
      <c r="K458" s="39">
        <f>VLOOKUP(A458,OPTIONS!A:C,3,FALSE)*G458</f>
        <v>0</v>
      </c>
      <c r="L458" s="39" t="str">
        <f t="shared" si="24"/>
        <v/>
      </c>
      <c r="M458" s="39" t="str">
        <f t="shared" si="25"/>
        <v>0</v>
      </c>
      <c r="N458" s="39" t="str">
        <f t="shared" si="26"/>
        <v xml:space="preserve"> ()</v>
      </c>
    </row>
    <row r="459" spans="1:14" x14ac:dyDescent="0.3">
      <c r="A459" s="34"/>
      <c r="B459" s="38"/>
      <c r="C459" s="34"/>
      <c r="D459" s="21"/>
      <c r="E459" s="21"/>
      <c r="G459" s="21"/>
      <c r="H459" s="21"/>
      <c r="I459" s="34"/>
      <c r="J459" s="34"/>
      <c r="K459" s="39">
        <f>VLOOKUP(A459,OPTIONS!A:C,3,FALSE)*G459</f>
        <v>0</v>
      </c>
      <c r="L459" s="39" t="str">
        <f t="shared" si="24"/>
        <v/>
      </c>
      <c r="M459" s="39" t="str">
        <f t="shared" si="25"/>
        <v>0</v>
      </c>
      <c r="N459" s="39" t="str">
        <f t="shared" si="26"/>
        <v xml:space="preserve"> ()</v>
      </c>
    </row>
    <row r="460" spans="1:14" x14ac:dyDescent="0.3">
      <c r="A460" s="34"/>
      <c r="B460" s="38"/>
      <c r="C460" s="34"/>
      <c r="D460" s="21"/>
      <c r="E460" s="21"/>
      <c r="G460" s="21"/>
      <c r="H460" s="21"/>
      <c r="I460" s="34"/>
      <c r="J460" s="34"/>
      <c r="K460" s="39">
        <f>VLOOKUP(A460,OPTIONS!A:C,3,FALSE)*G460</f>
        <v>0</v>
      </c>
      <c r="L460" s="39" t="str">
        <f t="shared" si="24"/>
        <v/>
      </c>
      <c r="M460" s="39" t="str">
        <f t="shared" si="25"/>
        <v>0</v>
      </c>
      <c r="N460" s="39" t="str">
        <f t="shared" si="26"/>
        <v xml:space="preserve"> ()</v>
      </c>
    </row>
    <row r="461" spans="1:14" x14ac:dyDescent="0.3">
      <c r="A461" s="34"/>
      <c r="B461" s="38"/>
      <c r="C461" s="34"/>
      <c r="D461" s="21"/>
      <c r="E461" s="21"/>
      <c r="G461" s="21"/>
      <c r="H461" s="21"/>
      <c r="I461" s="34"/>
      <c r="J461" s="34"/>
      <c r="K461" s="39">
        <f>VLOOKUP(A461,OPTIONS!A:C,3,FALSE)*G461</f>
        <v>0</v>
      </c>
      <c r="L461" s="39" t="str">
        <f t="shared" si="24"/>
        <v/>
      </c>
      <c r="M461" s="39" t="str">
        <f t="shared" si="25"/>
        <v>0</v>
      </c>
      <c r="N461" s="39" t="str">
        <f t="shared" si="26"/>
        <v xml:space="preserve"> ()</v>
      </c>
    </row>
    <row r="462" spans="1:14" x14ac:dyDescent="0.3">
      <c r="A462" s="34"/>
      <c r="B462" s="38"/>
      <c r="C462" s="34"/>
      <c r="D462" s="21"/>
      <c r="E462" s="21"/>
      <c r="G462" s="21"/>
      <c r="H462" s="21"/>
      <c r="I462" s="34"/>
      <c r="J462" s="34"/>
      <c r="K462" s="39">
        <f>VLOOKUP(A462,OPTIONS!A:C,3,FALSE)*G462</f>
        <v>0</v>
      </c>
      <c r="L462" s="39" t="str">
        <f t="shared" si="24"/>
        <v/>
      </c>
      <c r="M462" s="39" t="str">
        <f t="shared" si="25"/>
        <v>0</v>
      </c>
      <c r="N462" s="39" t="str">
        <f t="shared" si="26"/>
        <v xml:space="preserve"> ()</v>
      </c>
    </row>
    <row r="463" spans="1:14" x14ac:dyDescent="0.3">
      <c r="A463" s="34"/>
      <c r="B463" s="38"/>
      <c r="C463" s="34"/>
      <c r="D463" s="21"/>
      <c r="E463" s="21"/>
      <c r="G463" s="21"/>
      <c r="H463" s="21"/>
      <c r="I463" s="34"/>
      <c r="J463" s="34"/>
      <c r="K463" s="39">
        <f>VLOOKUP(A463,OPTIONS!A:C,3,FALSE)*G463</f>
        <v>0</v>
      </c>
      <c r="L463" s="39" t="str">
        <f t="shared" si="24"/>
        <v/>
      </c>
      <c r="M463" s="39" t="str">
        <f t="shared" si="25"/>
        <v>0</v>
      </c>
      <c r="N463" s="39" t="str">
        <f t="shared" si="26"/>
        <v xml:space="preserve"> ()</v>
      </c>
    </row>
    <row r="464" spans="1:14" x14ac:dyDescent="0.3">
      <c r="A464" s="34"/>
      <c r="B464" s="38"/>
      <c r="C464" s="34"/>
      <c r="D464" s="21"/>
      <c r="E464" s="21"/>
      <c r="G464" s="21"/>
      <c r="H464" s="21"/>
      <c r="I464" s="34"/>
      <c r="J464" s="34"/>
      <c r="K464" s="39">
        <f>VLOOKUP(A464,OPTIONS!A:C,3,FALSE)*G464</f>
        <v>0</v>
      </c>
      <c r="L464" s="39" t="str">
        <f t="shared" si="24"/>
        <v/>
      </c>
      <c r="M464" s="39" t="str">
        <f t="shared" si="25"/>
        <v>0</v>
      </c>
      <c r="N464" s="39" t="str">
        <f t="shared" si="26"/>
        <v xml:space="preserve"> ()</v>
      </c>
    </row>
    <row r="465" spans="1:14" x14ac:dyDescent="0.3">
      <c r="A465" s="34"/>
      <c r="B465" s="38"/>
      <c r="C465" s="34"/>
      <c r="D465" s="21"/>
      <c r="E465" s="21"/>
      <c r="G465" s="21"/>
      <c r="H465" s="21"/>
      <c r="I465" s="34"/>
      <c r="J465" s="34"/>
      <c r="K465" s="39">
        <f>VLOOKUP(A465,OPTIONS!A:C,3,FALSE)*G465</f>
        <v>0</v>
      </c>
      <c r="L465" s="39" t="str">
        <f t="shared" si="24"/>
        <v/>
      </c>
      <c r="M465" s="39" t="str">
        <f t="shared" si="25"/>
        <v>0</v>
      </c>
      <c r="N465" s="39" t="str">
        <f t="shared" si="26"/>
        <v xml:space="preserve"> ()</v>
      </c>
    </row>
    <row r="466" spans="1:14" x14ac:dyDescent="0.3">
      <c r="A466" s="34"/>
      <c r="B466" s="38"/>
      <c r="C466" s="34"/>
      <c r="D466" s="21"/>
      <c r="E466" s="21"/>
      <c r="G466" s="21"/>
      <c r="H466" s="21"/>
      <c r="I466" s="34"/>
      <c r="J466" s="34"/>
      <c r="K466" s="39">
        <f>VLOOKUP(A466,OPTIONS!A:C,3,FALSE)*G466</f>
        <v>0</v>
      </c>
      <c r="L466" s="39" t="str">
        <f t="shared" si="24"/>
        <v/>
      </c>
      <c r="M466" s="39" t="str">
        <f t="shared" si="25"/>
        <v>0</v>
      </c>
      <c r="N466" s="39" t="str">
        <f t="shared" si="26"/>
        <v xml:space="preserve"> ()</v>
      </c>
    </row>
    <row r="467" spans="1:14" x14ac:dyDescent="0.3">
      <c r="A467" s="34"/>
      <c r="B467" s="38"/>
      <c r="C467" s="34"/>
      <c r="D467" s="21"/>
      <c r="E467" s="21"/>
      <c r="G467" s="21"/>
      <c r="H467" s="21"/>
      <c r="I467" s="34"/>
      <c r="J467" s="34"/>
      <c r="K467" s="39">
        <f>VLOOKUP(A467,OPTIONS!A:C,3,FALSE)*G467</f>
        <v>0</v>
      </c>
      <c r="L467" s="39" t="str">
        <f t="shared" si="24"/>
        <v/>
      </c>
      <c r="M467" s="39" t="str">
        <f t="shared" si="25"/>
        <v>0</v>
      </c>
      <c r="N467" s="39" t="str">
        <f t="shared" si="26"/>
        <v xml:space="preserve"> ()</v>
      </c>
    </row>
    <row r="468" spans="1:14" x14ac:dyDescent="0.3">
      <c r="A468" s="34"/>
      <c r="B468" s="38"/>
      <c r="C468" s="34"/>
      <c r="D468" s="21"/>
      <c r="E468" s="21"/>
      <c r="G468" s="21"/>
      <c r="H468" s="21"/>
      <c r="I468" s="34"/>
      <c r="J468" s="34"/>
      <c r="K468" s="39">
        <f>VLOOKUP(A468,OPTIONS!A:C,3,FALSE)*G468</f>
        <v>0</v>
      </c>
      <c r="L468" s="39" t="str">
        <f t="shared" si="24"/>
        <v/>
      </c>
      <c r="M468" s="39" t="str">
        <f t="shared" si="25"/>
        <v>0</v>
      </c>
      <c r="N468" s="39" t="str">
        <f t="shared" si="26"/>
        <v xml:space="preserve"> ()</v>
      </c>
    </row>
    <row r="469" spans="1:14" x14ac:dyDescent="0.3">
      <c r="A469" s="34"/>
      <c r="B469" s="38"/>
      <c r="C469" s="34"/>
      <c r="D469" s="21"/>
      <c r="E469" s="21"/>
      <c r="G469" s="21"/>
      <c r="H469" s="21"/>
      <c r="I469" s="34"/>
      <c r="J469" s="34"/>
      <c r="K469" s="39">
        <f>VLOOKUP(A469,OPTIONS!A:C,3,FALSE)*G469</f>
        <v>0</v>
      </c>
      <c r="L469" s="39" t="str">
        <f t="shared" si="24"/>
        <v/>
      </c>
      <c r="M469" s="39" t="str">
        <f t="shared" si="25"/>
        <v>0</v>
      </c>
      <c r="N469" s="39" t="str">
        <f t="shared" si="26"/>
        <v xml:space="preserve"> ()</v>
      </c>
    </row>
    <row r="470" spans="1:14" x14ac:dyDescent="0.3">
      <c r="A470" s="34"/>
      <c r="B470" s="38"/>
      <c r="C470" s="34"/>
      <c r="D470" s="21"/>
      <c r="E470" s="21"/>
      <c r="G470" s="21"/>
      <c r="H470" s="21"/>
      <c r="I470" s="34"/>
      <c r="J470" s="34"/>
      <c r="K470" s="39">
        <f>VLOOKUP(A470,OPTIONS!A:C,3,FALSE)*G470</f>
        <v>0</v>
      </c>
      <c r="L470" s="39" t="str">
        <f t="shared" si="24"/>
        <v/>
      </c>
      <c r="M470" s="39" t="str">
        <f t="shared" si="25"/>
        <v>0</v>
      </c>
      <c r="N470" s="39" t="str">
        <f t="shared" si="26"/>
        <v xml:space="preserve"> ()</v>
      </c>
    </row>
    <row r="471" spans="1:14" x14ac:dyDescent="0.3">
      <c r="A471" s="34"/>
      <c r="B471" s="38"/>
      <c r="C471" s="34"/>
      <c r="D471" s="21"/>
      <c r="E471" s="21"/>
      <c r="G471" s="21"/>
      <c r="H471" s="21"/>
      <c r="I471" s="34"/>
      <c r="J471" s="34"/>
      <c r="K471" s="39">
        <f>VLOOKUP(A471,OPTIONS!A:C,3,FALSE)*G471</f>
        <v>0</v>
      </c>
      <c r="L471" s="39" t="str">
        <f t="shared" si="24"/>
        <v/>
      </c>
      <c r="M471" s="39" t="str">
        <f t="shared" si="25"/>
        <v>0</v>
      </c>
      <c r="N471" s="39" t="str">
        <f t="shared" si="26"/>
        <v xml:space="preserve"> ()</v>
      </c>
    </row>
    <row r="472" spans="1:14" x14ac:dyDescent="0.3">
      <c r="A472" s="34"/>
      <c r="B472" s="38"/>
      <c r="C472" s="34"/>
      <c r="D472" s="21"/>
      <c r="E472" s="21"/>
      <c r="G472" s="21"/>
      <c r="H472" s="21"/>
      <c r="I472" s="34"/>
      <c r="J472" s="34"/>
      <c r="K472" s="39">
        <f>VLOOKUP(A472,OPTIONS!A:C,3,FALSE)*G472</f>
        <v>0</v>
      </c>
      <c r="L472" s="39" t="str">
        <f t="shared" si="24"/>
        <v/>
      </c>
      <c r="M472" s="39" t="str">
        <f t="shared" si="25"/>
        <v>0</v>
      </c>
      <c r="N472" s="39" t="str">
        <f t="shared" si="26"/>
        <v xml:space="preserve"> ()</v>
      </c>
    </row>
    <row r="473" spans="1:14" x14ac:dyDescent="0.3">
      <c r="A473" s="34"/>
      <c r="B473" s="38"/>
      <c r="C473" s="34"/>
      <c r="D473" s="21"/>
      <c r="E473" s="21"/>
      <c r="G473" s="21"/>
      <c r="H473" s="21"/>
      <c r="I473" s="34"/>
      <c r="J473" s="34"/>
      <c r="K473" s="39">
        <f>VLOOKUP(A473,OPTIONS!A:C,3,FALSE)*G473</f>
        <v>0</v>
      </c>
      <c r="L473" s="39" t="str">
        <f t="shared" ref="L473:L536" si="27">TRIM(CONCATENATE(G473," ", $H473, " ", $E473))</f>
        <v/>
      </c>
      <c r="M473" s="39" t="str">
        <f t="shared" ref="M473:M536" si="28">TRIM(CONCATENATE(K473," ", $H473, " ", $E473))</f>
        <v>0</v>
      </c>
      <c r="N473" s="39" t="str">
        <f t="shared" ref="N473:N536" si="29">CONCATENATE(E473, " (", TRIM(H473), ")")</f>
        <v xml:space="preserve"> ()</v>
      </c>
    </row>
    <row r="474" spans="1:14" x14ac:dyDescent="0.3">
      <c r="A474" s="34"/>
      <c r="B474" s="38"/>
      <c r="C474" s="34"/>
      <c r="D474" s="21"/>
      <c r="E474" s="21"/>
      <c r="G474" s="21"/>
      <c r="H474" s="21"/>
      <c r="I474" s="34"/>
      <c r="J474" s="34"/>
      <c r="K474" s="39">
        <f>VLOOKUP(A474,OPTIONS!A:C,3,FALSE)*G474</f>
        <v>0</v>
      </c>
      <c r="L474" s="39" t="str">
        <f t="shared" si="27"/>
        <v/>
      </c>
      <c r="M474" s="39" t="str">
        <f t="shared" si="28"/>
        <v>0</v>
      </c>
      <c r="N474" s="39" t="str">
        <f t="shared" si="29"/>
        <v xml:space="preserve"> ()</v>
      </c>
    </row>
    <row r="475" spans="1:14" x14ac:dyDescent="0.3">
      <c r="A475" s="34"/>
      <c r="B475" s="38"/>
      <c r="C475" s="34"/>
      <c r="D475" s="21"/>
      <c r="E475" s="21"/>
      <c r="G475" s="21"/>
      <c r="H475" s="21"/>
      <c r="I475" s="34"/>
      <c r="J475" s="34"/>
      <c r="K475" s="39">
        <f>VLOOKUP(A475,OPTIONS!A:C,3,FALSE)*G475</f>
        <v>0</v>
      </c>
      <c r="L475" s="39" t="str">
        <f t="shared" si="27"/>
        <v/>
      </c>
      <c r="M475" s="39" t="str">
        <f t="shared" si="28"/>
        <v>0</v>
      </c>
      <c r="N475" s="39" t="str">
        <f t="shared" si="29"/>
        <v xml:space="preserve"> ()</v>
      </c>
    </row>
    <row r="476" spans="1:14" x14ac:dyDescent="0.3">
      <c r="A476" s="34"/>
      <c r="B476" s="38"/>
      <c r="C476" s="34"/>
      <c r="D476" s="21"/>
      <c r="E476" s="21"/>
      <c r="G476" s="21"/>
      <c r="H476" s="21"/>
      <c r="I476" s="34"/>
      <c r="J476" s="34"/>
      <c r="K476" s="39">
        <f>VLOOKUP(A476,OPTIONS!A:C,3,FALSE)*G476</f>
        <v>0</v>
      </c>
      <c r="L476" s="39" t="str">
        <f t="shared" si="27"/>
        <v/>
      </c>
      <c r="M476" s="39" t="str">
        <f t="shared" si="28"/>
        <v>0</v>
      </c>
      <c r="N476" s="39" t="str">
        <f t="shared" si="29"/>
        <v xml:space="preserve"> ()</v>
      </c>
    </row>
    <row r="477" spans="1:14" x14ac:dyDescent="0.3">
      <c r="A477" s="34"/>
      <c r="B477" s="38"/>
      <c r="C477" s="34"/>
      <c r="D477" s="21"/>
      <c r="E477" s="21"/>
      <c r="G477" s="21"/>
      <c r="H477" s="21"/>
      <c r="I477" s="34"/>
      <c r="J477" s="34"/>
      <c r="K477" s="39">
        <f>VLOOKUP(A477,OPTIONS!A:C,3,FALSE)*G477</f>
        <v>0</v>
      </c>
      <c r="L477" s="39" t="str">
        <f t="shared" si="27"/>
        <v/>
      </c>
      <c r="M477" s="39" t="str">
        <f t="shared" si="28"/>
        <v>0</v>
      </c>
      <c r="N477" s="39" t="str">
        <f t="shared" si="29"/>
        <v xml:space="preserve"> ()</v>
      </c>
    </row>
    <row r="478" spans="1:14" x14ac:dyDescent="0.3">
      <c r="A478" s="34"/>
      <c r="B478" s="38"/>
      <c r="C478" s="34"/>
      <c r="D478" s="21"/>
      <c r="E478" s="21"/>
      <c r="G478" s="21"/>
      <c r="H478" s="21"/>
      <c r="I478" s="34"/>
      <c r="J478" s="34"/>
      <c r="K478" s="39">
        <f>VLOOKUP(A478,OPTIONS!A:C,3,FALSE)*G478</f>
        <v>0</v>
      </c>
      <c r="L478" s="39" t="str">
        <f t="shared" si="27"/>
        <v/>
      </c>
      <c r="M478" s="39" t="str">
        <f t="shared" si="28"/>
        <v>0</v>
      </c>
      <c r="N478" s="39" t="str">
        <f t="shared" si="29"/>
        <v xml:space="preserve"> ()</v>
      </c>
    </row>
    <row r="479" spans="1:14" x14ac:dyDescent="0.3">
      <c r="A479" s="34"/>
      <c r="B479" s="38"/>
      <c r="C479" s="34"/>
      <c r="D479" s="21"/>
      <c r="E479" s="21"/>
      <c r="G479" s="21"/>
      <c r="H479" s="21"/>
      <c r="I479" s="34"/>
      <c r="J479" s="34"/>
      <c r="K479" s="39">
        <f>VLOOKUP(A479,OPTIONS!A:C,3,FALSE)*G479</f>
        <v>0</v>
      </c>
      <c r="L479" s="39" t="str">
        <f t="shared" si="27"/>
        <v/>
      </c>
      <c r="M479" s="39" t="str">
        <f t="shared" si="28"/>
        <v>0</v>
      </c>
      <c r="N479" s="39" t="str">
        <f t="shared" si="29"/>
        <v xml:space="preserve"> ()</v>
      </c>
    </row>
    <row r="480" spans="1:14" x14ac:dyDescent="0.3">
      <c r="A480" s="34"/>
      <c r="B480" s="38"/>
      <c r="C480" s="34"/>
      <c r="D480" s="21"/>
      <c r="E480" s="21"/>
      <c r="G480" s="21"/>
      <c r="H480" s="21"/>
      <c r="I480" s="34"/>
      <c r="J480" s="34"/>
      <c r="K480" s="39">
        <f>VLOOKUP(A480,OPTIONS!A:C,3,FALSE)*G480</f>
        <v>0</v>
      </c>
      <c r="L480" s="39" t="str">
        <f t="shared" si="27"/>
        <v/>
      </c>
      <c r="M480" s="39" t="str">
        <f t="shared" si="28"/>
        <v>0</v>
      </c>
      <c r="N480" s="39" t="str">
        <f t="shared" si="29"/>
        <v xml:space="preserve"> ()</v>
      </c>
    </row>
    <row r="481" spans="1:14" x14ac:dyDescent="0.3">
      <c r="A481" s="34"/>
      <c r="B481" s="38"/>
      <c r="C481" s="34"/>
      <c r="D481" s="21"/>
      <c r="E481" s="21"/>
      <c r="G481" s="21"/>
      <c r="H481" s="21"/>
      <c r="I481" s="34"/>
      <c r="J481" s="34"/>
      <c r="K481" s="39">
        <f>VLOOKUP(A481,OPTIONS!A:C,3,FALSE)*G481</f>
        <v>0</v>
      </c>
      <c r="L481" s="39" t="str">
        <f t="shared" si="27"/>
        <v/>
      </c>
      <c r="M481" s="39" t="str">
        <f t="shared" si="28"/>
        <v>0</v>
      </c>
      <c r="N481" s="39" t="str">
        <f t="shared" si="29"/>
        <v xml:space="preserve"> ()</v>
      </c>
    </row>
    <row r="482" spans="1:14" x14ac:dyDescent="0.3">
      <c r="A482" s="34"/>
      <c r="B482" s="38"/>
      <c r="C482" s="34"/>
      <c r="D482" s="21"/>
      <c r="E482" s="21"/>
      <c r="G482" s="21"/>
      <c r="H482" s="21"/>
      <c r="I482" s="34"/>
      <c r="J482" s="34"/>
      <c r="K482" s="39">
        <f>VLOOKUP(A482,OPTIONS!A:C,3,FALSE)*G482</f>
        <v>0</v>
      </c>
      <c r="L482" s="39" t="str">
        <f t="shared" si="27"/>
        <v/>
      </c>
      <c r="M482" s="39" t="str">
        <f t="shared" si="28"/>
        <v>0</v>
      </c>
      <c r="N482" s="39" t="str">
        <f t="shared" si="29"/>
        <v xml:space="preserve"> ()</v>
      </c>
    </row>
    <row r="483" spans="1:14" x14ac:dyDescent="0.3">
      <c r="A483" s="34"/>
      <c r="B483" s="38"/>
      <c r="C483" s="34"/>
      <c r="D483" s="21"/>
      <c r="E483" s="21"/>
      <c r="G483" s="21"/>
      <c r="H483" s="21"/>
      <c r="I483" s="34"/>
      <c r="J483" s="34"/>
      <c r="K483" s="39">
        <f>VLOOKUP(A483,OPTIONS!A:C,3,FALSE)*G483</f>
        <v>0</v>
      </c>
      <c r="L483" s="39" t="str">
        <f t="shared" si="27"/>
        <v/>
      </c>
      <c r="M483" s="39" t="str">
        <f t="shared" si="28"/>
        <v>0</v>
      </c>
      <c r="N483" s="39" t="str">
        <f t="shared" si="29"/>
        <v xml:space="preserve"> ()</v>
      </c>
    </row>
    <row r="484" spans="1:14" x14ac:dyDescent="0.3">
      <c r="A484" s="34"/>
      <c r="B484" s="38"/>
      <c r="C484" s="34"/>
      <c r="D484" s="21"/>
      <c r="E484" s="21"/>
      <c r="G484" s="21"/>
      <c r="H484" s="21"/>
      <c r="I484" s="34"/>
      <c r="J484" s="34"/>
      <c r="K484" s="39">
        <f>VLOOKUP(A484,OPTIONS!A:C,3,FALSE)*G484</f>
        <v>0</v>
      </c>
      <c r="L484" s="39" t="str">
        <f t="shared" si="27"/>
        <v/>
      </c>
      <c r="M484" s="39" t="str">
        <f t="shared" si="28"/>
        <v>0</v>
      </c>
      <c r="N484" s="39" t="str">
        <f t="shared" si="29"/>
        <v xml:space="preserve"> ()</v>
      </c>
    </row>
    <row r="485" spans="1:14" x14ac:dyDescent="0.3">
      <c r="A485" s="34"/>
      <c r="B485" s="38"/>
      <c r="C485" s="34"/>
      <c r="D485" s="21"/>
      <c r="E485" s="21"/>
      <c r="G485" s="21"/>
      <c r="H485" s="21"/>
      <c r="I485" s="34"/>
      <c r="J485" s="34"/>
      <c r="K485" s="39">
        <f>VLOOKUP(A485,OPTIONS!A:C,3,FALSE)*G485</f>
        <v>0</v>
      </c>
      <c r="L485" s="39" t="str">
        <f t="shared" si="27"/>
        <v/>
      </c>
      <c r="M485" s="39" t="str">
        <f t="shared" si="28"/>
        <v>0</v>
      </c>
      <c r="N485" s="39" t="str">
        <f t="shared" si="29"/>
        <v xml:space="preserve"> ()</v>
      </c>
    </row>
    <row r="486" spans="1:14" x14ac:dyDescent="0.3">
      <c r="A486" s="34"/>
      <c r="B486" s="38"/>
      <c r="C486" s="34"/>
      <c r="D486" s="21"/>
      <c r="E486" s="21"/>
      <c r="G486" s="21"/>
      <c r="H486" s="21"/>
      <c r="I486" s="34"/>
      <c r="J486" s="34"/>
      <c r="K486" s="39">
        <f>VLOOKUP(A486,OPTIONS!A:C,3,FALSE)*G486</f>
        <v>0</v>
      </c>
      <c r="L486" s="39" t="str">
        <f t="shared" si="27"/>
        <v/>
      </c>
      <c r="M486" s="39" t="str">
        <f t="shared" si="28"/>
        <v>0</v>
      </c>
      <c r="N486" s="39" t="str">
        <f t="shared" si="29"/>
        <v xml:space="preserve"> ()</v>
      </c>
    </row>
    <row r="487" spans="1:14" x14ac:dyDescent="0.3">
      <c r="A487" s="34"/>
      <c r="B487" s="38"/>
      <c r="C487" s="34"/>
      <c r="D487" s="21"/>
      <c r="E487" s="21"/>
      <c r="G487" s="21"/>
      <c r="H487" s="21"/>
      <c r="I487" s="34"/>
      <c r="J487" s="34"/>
      <c r="K487" s="39">
        <f>VLOOKUP(A487,OPTIONS!A:C,3,FALSE)*G487</f>
        <v>0</v>
      </c>
      <c r="L487" s="39" t="str">
        <f t="shared" si="27"/>
        <v/>
      </c>
      <c r="M487" s="39" t="str">
        <f t="shared" si="28"/>
        <v>0</v>
      </c>
      <c r="N487" s="39" t="str">
        <f t="shared" si="29"/>
        <v xml:space="preserve"> ()</v>
      </c>
    </row>
    <row r="488" spans="1:14" x14ac:dyDescent="0.3">
      <c r="A488" s="34"/>
      <c r="B488" s="38"/>
      <c r="C488" s="34"/>
      <c r="D488" s="21"/>
      <c r="E488" s="21"/>
      <c r="G488" s="21"/>
      <c r="H488" s="21"/>
      <c r="I488" s="34"/>
      <c r="J488" s="34"/>
      <c r="K488" s="39">
        <f>VLOOKUP(A488,OPTIONS!A:C,3,FALSE)*G488</f>
        <v>0</v>
      </c>
      <c r="L488" s="39" t="str">
        <f t="shared" si="27"/>
        <v/>
      </c>
      <c r="M488" s="39" t="str">
        <f t="shared" si="28"/>
        <v>0</v>
      </c>
      <c r="N488" s="39" t="str">
        <f t="shared" si="29"/>
        <v xml:space="preserve"> ()</v>
      </c>
    </row>
    <row r="489" spans="1:14" x14ac:dyDescent="0.3">
      <c r="A489" s="34"/>
      <c r="B489" s="38"/>
      <c r="C489" s="34"/>
      <c r="D489" s="21"/>
      <c r="E489" s="21"/>
      <c r="G489" s="21"/>
      <c r="H489" s="21"/>
      <c r="I489" s="34"/>
      <c r="J489" s="34"/>
      <c r="K489" s="39">
        <f>VLOOKUP(A489,OPTIONS!A:C,3,FALSE)*G489</f>
        <v>0</v>
      </c>
      <c r="L489" s="39" t="str">
        <f t="shared" si="27"/>
        <v/>
      </c>
      <c r="M489" s="39" t="str">
        <f t="shared" si="28"/>
        <v>0</v>
      </c>
      <c r="N489" s="39" t="str">
        <f t="shared" si="29"/>
        <v xml:space="preserve"> ()</v>
      </c>
    </row>
    <row r="490" spans="1:14" x14ac:dyDescent="0.3">
      <c r="A490" s="34"/>
      <c r="B490" s="38"/>
      <c r="C490" s="34"/>
      <c r="D490" s="21"/>
      <c r="E490" s="21"/>
      <c r="G490" s="21"/>
      <c r="H490" s="21"/>
      <c r="I490" s="34"/>
      <c r="J490" s="34"/>
      <c r="K490" s="39">
        <f>VLOOKUP(A490,OPTIONS!A:C,3,FALSE)*G490</f>
        <v>0</v>
      </c>
      <c r="L490" s="39" t="str">
        <f t="shared" si="27"/>
        <v/>
      </c>
      <c r="M490" s="39" t="str">
        <f t="shared" si="28"/>
        <v>0</v>
      </c>
      <c r="N490" s="39" t="str">
        <f t="shared" si="29"/>
        <v xml:space="preserve"> ()</v>
      </c>
    </row>
    <row r="491" spans="1:14" x14ac:dyDescent="0.3">
      <c r="A491" s="34"/>
      <c r="B491" s="38"/>
      <c r="C491" s="34"/>
      <c r="D491" s="21"/>
      <c r="E491" s="21"/>
      <c r="G491" s="21"/>
      <c r="H491" s="21"/>
      <c r="I491" s="34"/>
      <c r="J491" s="34"/>
      <c r="K491" s="39">
        <f>VLOOKUP(A491,OPTIONS!A:C,3,FALSE)*G491</f>
        <v>0</v>
      </c>
      <c r="L491" s="39" t="str">
        <f t="shared" si="27"/>
        <v/>
      </c>
      <c r="M491" s="39" t="str">
        <f t="shared" si="28"/>
        <v>0</v>
      </c>
      <c r="N491" s="39" t="str">
        <f t="shared" si="29"/>
        <v xml:space="preserve"> ()</v>
      </c>
    </row>
    <row r="492" spans="1:14" x14ac:dyDescent="0.3">
      <c r="A492" s="34"/>
      <c r="B492" s="38"/>
      <c r="C492" s="34"/>
      <c r="D492" s="21"/>
      <c r="E492" s="21"/>
      <c r="G492" s="21"/>
      <c r="H492" s="21"/>
      <c r="I492" s="34"/>
      <c r="J492" s="34"/>
      <c r="K492" s="39">
        <f>VLOOKUP(A492,OPTIONS!A:C,3,FALSE)*G492</f>
        <v>0</v>
      </c>
      <c r="L492" s="39" t="str">
        <f t="shared" si="27"/>
        <v/>
      </c>
      <c r="M492" s="39" t="str">
        <f t="shared" si="28"/>
        <v>0</v>
      </c>
      <c r="N492" s="39" t="str">
        <f t="shared" si="29"/>
        <v xml:space="preserve"> ()</v>
      </c>
    </row>
    <row r="493" spans="1:14" x14ac:dyDescent="0.3">
      <c r="A493" s="34"/>
      <c r="B493" s="38"/>
      <c r="C493" s="34"/>
      <c r="D493" s="21"/>
      <c r="E493" s="21"/>
      <c r="G493" s="21"/>
      <c r="H493" s="21"/>
      <c r="I493" s="34"/>
      <c r="J493" s="34"/>
      <c r="K493" s="39">
        <f>VLOOKUP(A493,OPTIONS!A:C,3,FALSE)*G493</f>
        <v>0</v>
      </c>
      <c r="L493" s="39" t="str">
        <f t="shared" si="27"/>
        <v/>
      </c>
      <c r="M493" s="39" t="str">
        <f t="shared" si="28"/>
        <v>0</v>
      </c>
      <c r="N493" s="39" t="str">
        <f t="shared" si="29"/>
        <v xml:space="preserve"> ()</v>
      </c>
    </row>
    <row r="494" spans="1:14" x14ac:dyDescent="0.3">
      <c r="A494" s="34"/>
      <c r="B494" s="38"/>
      <c r="C494" s="34"/>
      <c r="D494" s="21"/>
      <c r="E494" s="21"/>
      <c r="G494" s="21"/>
      <c r="H494" s="21"/>
      <c r="I494" s="34"/>
      <c r="J494" s="34"/>
      <c r="K494" s="39">
        <f>VLOOKUP(A494,OPTIONS!A:C,3,FALSE)*G494</f>
        <v>0</v>
      </c>
      <c r="L494" s="39" t="str">
        <f t="shared" si="27"/>
        <v/>
      </c>
      <c r="M494" s="39" t="str">
        <f t="shared" si="28"/>
        <v>0</v>
      </c>
      <c r="N494" s="39" t="str">
        <f t="shared" si="29"/>
        <v xml:space="preserve"> ()</v>
      </c>
    </row>
    <row r="495" spans="1:14" x14ac:dyDescent="0.3">
      <c r="A495" s="34"/>
      <c r="B495" s="38"/>
      <c r="C495" s="34"/>
      <c r="D495" s="21"/>
      <c r="E495" s="21"/>
      <c r="G495" s="21"/>
      <c r="H495" s="21"/>
      <c r="I495" s="34"/>
      <c r="J495" s="34"/>
      <c r="K495" s="39">
        <f>VLOOKUP(A495,OPTIONS!A:C,3,FALSE)*G495</f>
        <v>0</v>
      </c>
      <c r="L495" s="39" t="str">
        <f t="shared" si="27"/>
        <v/>
      </c>
      <c r="M495" s="39" t="str">
        <f t="shared" si="28"/>
        <v>0</v>
      </c>
      <c r="N495" s="39" t="str">
        <f t="shared" si="29"/>
        <v xml:space="preserve"> ()</v>
      </c>
    </row>
    <row r="496" spans="1:14" x14ac:dyDescent="0.3">
      <c r="A496" s="34"/>
      <c r="B496" s="38"/>
      <c r="C496" s="34"/>
      <c r="D496" s="21"/>
      <c r="E496" s="21"/>
      <c r="G496" s="21"/>
      <c r="H496" s="21"/>
      <c r="I496" s="34"/>
      <c r="J496" s="34"/>
      <c r="K496" s="39">
        <f>VLOOKUP(A496,OPTIONS!A:C,3,FALSE)*G496</f>
        <v>0</v>
      </c>
      <c r="L496" s="39" t="str">
        <f t="shared" si="27"/>
        <v/>
      </c>
      <c r="M496" s="39" t="str">
        <f t="shared" si="28"/>
        <v>0</v>
      </c>
      <c r="N496" s="39" t="str">
        <f t="shared" si="29"/>
        <v xml:space="preserve"> ()</v>
      </c>
    </row>
    <row r="497" spans="1:14" x14ac:dyDescent="0.3">
      <c r="A497" s="34"/>
      <c r="B497" s="38"/>
      <c r="C497" s="34"/>
      <c r="D497" s="21"/>
      <c r="E497" s="21"/>
      <c r="G497" s="21"/>
      <c r="H497" s="21"/>
      <c r="I497" s="34"/>
      <c r="J497" s="34"/>
      <c r="K497" s="39">
        <f>VLOOKUP(A497,OPTIONS!A:C,3,FALSE)*G497</f>
        <v>0</v>
      </c>
      <c r="L497" s="39" t="str">
        <f t="shared" si="27"/>
        <v/>
      </c>
      <c r="M497" s="39" t="str">
        <f t="shared" si="28"/>
        <v>0</v>
      </c>
      <c r="N497" s="39" t="str">
        <f t="shared" si="29"/>
        <v xml:space="preserve"> ()</v>
      </c>
    </row>
    <row r="498" spans="1:14" x14ac:dyDescent="0.3">
      <c r="A498" s="34"/>
      <c r="B498" s="38"/>
      <c r="C498" s="34"/>
      <c r="D498" s="21"/>
      <c r="E498" s="21"/>
      <c r="G498" s="21"/>
      <c r="H498" s="21"/>
      <c r="I498" s="34"/>
      <c r="J498" s="34"/>
      <c r="K498" s="39">
        <f>VLOOKUP(A498,OPTIONS!A:C,3,FALSE)*G498</f>
        <v>0</v>
      </c>
      <c r="L498" s="39" t="str">
        <f t="shared" si="27"/>
        <v/>
      </c>
      <c r="M498" s="39" t="str">
        <f t="shared" si="28"/>
        <v>0</v>
      </c>
      <c r="N498" s="39" t="str">
        <f t="shared" si="29"/>
        <v xml:space="preserve"> ()</v>
      </c>
    </row>
    <row r="499" spans="1:14" x14ac:dyDescent="0.3">
      <c r="A499" s="34"/>
      <c r="B499" s="38"/>
      <c r="C499" s="34"/>
      <c r="D499" s="21"/>
      <c r="E499" s="21"/>
      <c r="G499" s="21"/>
      <c r="H499" s="21"/>
      <c r="I499" s="34"/>
      <c r="J499" s="34"/>
      <c r="K499" s="39">
        <f>VLOOKUP(A499,OPTIONS!A:C,3,FALSE)*G499</f>
        <v>0</v>
      </c>
      <c r="L499" s="39" t="str">
        <f t="shared" si="27"/>
        <v/>
      </c>
      <c r="M499" s="39" t="str">
        <f t="shared" si="28"/>
        <v>0</v>
      </c>
      <c r="N499" s="39" t="str">
        <f t="shared" si="29"/>
        <v xml:space="preserve"> ()</v>
      </c>
    </row>
    <row r="500" spans="1:14" x14ac:dyDescent="0.3">
      <c r="A500" s="34"/>
      <c r="B500" s="38"/>
      <c r="C500" s="34"/>
      <c r="D500" s="21"/>
      <c r="E500" s="21"/>
      <c r="G500" s="21"/>
      <c r="H500" s="21"/>
      <c r="I500" s="34"/>
      <c r="J500" s="34"/>
      <c r="K500" s="39">
        <f>VLOOKUP(A500,OPTIONS!A:C,3,FALSE)*G500</f>
        <v>0</v>
      </c>
      <c r="L500" s="39" t="str">
        <f t="shared" si="27"/>
        <v/>
      </c>
      <c r="M500" s="39" t="str">
        <f t="shared" si="28"/>
        <v>0</v>
      </c>
      <c r="N500" s="39" t="str">
        <f t="shared" si="29"/>
        <v xml:space="preserve"> ()</v>
      </c>
    </row>
    <row r="501" spans="1:14" x14ac:dyDescent="0.3">
      <c r="A501" s="34"/>
      <c r="B501" s="38"/>
      <c r="C501" s="34"/>
      <c r="D501" s="21"/>
      <c r="E501" s="21"/>
      <c r="G501" s="21"/>
      <c r="H501" s="21"/>
      <c r="I501" s="34"/>
      <c r="J501" s="34"/>
      <c r="K501" s="39">
        <f>VLOOKUP(A501,OPTIONS!A:C,3,FALSE)*G501</f>
        <v>0</v>
      </c>
      <c r="L501" s="39" t="str">
        <f t="shared" si="27"/>
        <v/>
      </c>
      <c r="M501" s="39" t="str">
        <f t="shared" si="28"/>
        <v>0</v>
      </c>
      <c r="N501" s="39" t="str">
        <f t="shared" si="29"/>
        <v xml:space="preserve"> ()</v>
      </c>
    </row>
    <row r="502" spans="1:14" x14ac:dyDescent="0.3">
      <c r="A502" s="34"/>
      <c r="B502" s="38"/>
      <c r="C502" s="34"/>
      <c r="D502" s="21"/>
      <c r="E502" s="21"/>
      <c r="G502" s="21"/>
      <c r="H502" s="21"/>
      <c r="I502" s="34"/>
      <c r="J502" s="34"/>
      <c r="K502" s="39">
        <f>VLOOKUP(A502,OPTIONS!A:C,3,FALSE)*G502</f>
        <v>0</v>
      </c>
      <c r="L502" s="39" t="str">
        <f t="shared" si="27"/>
        <v/>
      </c>
      <c r="M502" s="39" t="str">
        <f t="shared" si="28"/>
        <v>0</v>
      </c>
      <c r="N502" s="39" t="str">
        <f t="shared" si="29"/>
        <v xml:space="preserve"> ()</v>
      </c>
    </row>
    <row r="503" spans="1:14" x14ac:dyDescent="0.3">
      <c r="A503" s="34"/>
      <c r="B503" s="38"/>
      <c r="C503" s="34"/>
      <c r="D503" s="21"/>
      <c r="E503" s="21"/>
      <c r="G503" s="21"/>
      <c r="H503" s="21"/>
      <c r="I503" s="34"/>
      <c r="J503" s="34"/>
      <c r="K503" s="39">
        <f>VLOOKUP(A503,OPTIONS!A:C,3,FALSE)*G503</f>
        <v>0</v>
      </c>
      <c r="L503" s="39" t="str">
        <f t="shared" si="27"/>
        <v/>
      </c>
      <c r="M503" s="39" t="str">
        <f t="shared" si="28"/>
        <v>0</v>
      </c>
      <c r="N503" s="39" t="str">
        <f t="shared" si="29"/>
        <v xml:space="preserve"> ()</v>
      </c>
    </row>
    <row r="504" spans="1:14" x14ac:dyDescent="0.3">
      <c r="A504" s="34"/>
      <c r="B504" s="38"/>
      <c r="C504" s="34"/>
      <c r="D504" s="21"/>
      <c r="E504" s="21"/>
      <c r="G504" s="21"/>
      <c r="H504" s="21"/>
      <c r="I504" s="34"/>
      <c r="J504" s="34"/>
      <c r="K504" s="39">
        <f>VLOOKUP(A504,OPTIONS!A:C,3,FALSE)*G504</f>
        <v>0</v>
      </c>
      <c r="L504" s="39" t="str">
        <f t="shared" si="27"/>
        <v/>
      </c>
      <c r="M504" s="39" t="str">
        <f t="shared" si="28"/>
        <v>0</v>
      </c>
      <c r="N504" s="39" t="str">
        <f t="shared" si="29"/>
        <v xml:space="preserve"> ()</v>
      </c>
    </row>
    <row r="505" spans="1:14" x14ac:dyDescent="0.3">
      <c r="A505" s="34"/>
      <c r="B505" s="38"/>
      <c r="C505" s="34"/>
      <c r="D505" s="21"/>
      <c r="E505" s="21"/>
      <c r="G505" s="21"/>
      <c r="H505" s="21"/>
      <c r="I505" s="34"/>
      <c r="J505" s="34"/>
      <c r="K505" s="39">
        <f>VLOOKUP(A505,OPTIONS!A:C,3,FALSE)*G505</f>
        <v>0</v>
      </c>
      <c r="L505" s="39" t="str">
        <f t="shared" si="27"/>
        <v/>
      </c>
      <c r="M505" s="39" t="str">
        <f t="shared" si="28"/>
        <v>0</v>
      </c>
      <c r="N505" s="39" t="str">
        <f t="shared" si="29"/>
        <v xml:space="preserve"> ()</v>
      </c>
    </row>
    <row r="506" spans="1:14" x14ac:dyDescent="0.3">
      <c r="A506" s="34"/>
      <c r="B506" s="38"/>
      <c r="C506" s="34"/>
      <c r="D506" s="21"/>
      <c r="E506" s="21"/>
      <c r="G506" s="21"/>
      <c r="H506" s="21"/>
      <c r="I506" s="34"/>
      <c r="J506" s="34"/>
      <c r="K506" s="39">
        <f>VLOOKUP(A506,OPTIONS!A:C,3,FALSE)*G506</f>
        <v>0</v>
      </c>
      <c r="L506" s="39" t="str">
        <f t="shared" si="27"/>
        <v/>
      </c>
      <c r="M506" s="39" t="str">
        <f t="shared" si="28"/>
        <v>0</v>
      </c>
      <c r="N506" s="39" t="str">
        <f t="shared" si="29"/>
        <v xml:space="preserve"> ()</v>
      </c>
    </row>
    <row r="507" spans="1:14" x14ac:dyDescent="0.3">
      <c r="A507" s="34"/>
      <c r="B507" s="38"/>
      <c r="C507" s="34"/>
      <c r="D507" s="21"/>
      <c r="E507" s="21"/>
      <c r="G507" s="21"/>
      <c r="H507" s="21"/>
      <c r="I507" s="34"/>
      <c r="J507" s="34"/>
      <c r="K507" s="39">
        <f>VLOOKUP(A507,OPTIONS!A:C,3,FALSE)*G507</f>
        <v>0</v>
      </c>
      <c r="L507" s="39" t="str">
        <f t="shared" si="27"/>
        <v/>
      </c>
      <c r="M507" s="39" t="str">
        <f t="shared" si="28"/>
        <v>0</v>
      </c>
      <c r="N507" s="39" t="str">
        <f t="shared" si="29"/>
        <v xml:space="preserve"> ()</v>
      </c>
    </row>
    <row r="508" spans="1:14" x14ac:dyDescent="0.3">
      <c r="A508" s="34"/>
      <c r="B508" s="38"/>
      <c r="C508" s="34"/>
      <c r="D508" s="21"/>
      <c r="E508" s="21"/>
      <c r="G508" s="21"/>
      <c r="H508" s="21"/>
      <c r="I508" s="34"/>
      <c r="J508" s="34"/>
      <c r="K508" s="39">
        <f>VLOOKUP(A508,OPTIONS!A:C,3,FALSE)*G508</f>
        <v>0</v>
      </c>
      <c r="L508" s="39" t="str">
        <f t="shared" si="27"/>
        <v/>
      </c>
      <c r="M508" s="39" t="str">
        <f t="shared" si="28"/>
        <v>0</v>
      </c>
      <c r="N508" s="39" t="str">
        <f t="shared" si="29"/>
        <v xml:space="preserve"> ()</v>
      </c>
    </row>
    <row r="509" spans="1:14" x14ac:dyDescent="0.3">
      <c r="A509" s="34"/>
      <c r="B509" s="38"/>
      <c r="C509" s="34"/>
      <c r="D509" s="21"/>
      <c r="E509" s="21"/>
      <c r="G509" s="21"/>
      <c r="H509" s="21"/>
      <c r="I509" s="34"/>
      <c r="J509" s="34"/>
      <c r="K509" s="39">
        <f>VLOOKUP(A509,OPTIONS!A:C,3,FALSE)*G509</f>
        <v>0</v>
      </c>
      <c r="L509" s="39" t="str">
        <f t="shared" si="27"/>
        <v/>
      </c>
      <c r="M509" s="39" t="str">
        <f t="shared" si="28"/>
        <v>0</v>
      </c>
      <c r="N509" s="39" t="str">
        <f t="shared" si="29"/>
        <v xml:space="preserve"> ()</v>
      </c>
    </row>
    <row r="510" spans="1:14" x14ac:dyDescent="0.3">
      <c r="A510" s="34"/>
      <c r="B510" s="38"/>
      <c r="C510" s="34"/>
      <c r="D510" s="21"/>
      <c r="E510" s="21"/>
      <c r="G510" s="21"/>
      <c r="H510" s="21"/>
      <c r="I510" s="34"/>
      <c r="J510" s="34"/>
      <c r="K510" s="39">
        <f>VLOOKUP(A510,OPTIONS!A:C,3,FALSE)*G510</f>
        <v>0</v>
      </c>
      <c r="L510" s="39" t="str">
        <f t="shared" si="27"/>
        <v/>
      </c>
      <c r="M510" s="39" t="str">
        <f t="shared" si="28"/>
        <v>0</v>
      </c>
      <c r="N510" s="39" t="str">
        <f t="shared" si="29"/>
        <v xml:space="preserve"> ()</v>
      </c>
    </row>
    <row r="511" spans="1:14" x14ac:dyDescent="0.3">
      <c r="A511" s="34"/>
      <c r="B511" s="38"/>
      <c r="C511" s="34"/>
      <c r="D511" s="21"/>
      <c r="E511" s="21"/>
      <c r="G511" s="21"/>
      <c r="H511" s="21"/>
      <c r="I511" s="34"/>
      <c r="J511" s="34"/>
      <c r="K511" s="39">
        <f>VLOOKUP(A511,OPTIONS!A:C,3,FALSE)*G511</f>
        <v>0</v>
      </c>
      <c r="L511" s="39" t="str">
        <f t="shared" si="27"/>
        <v/>
      </c>
      <c r="M511" s="39" t="str">
        <f t="shared" si="28"/>
        <v>0</v>
      </c>
      <c r="N511" s="39" t="str">
        <f t="shared" si="29"/>
        <v xml:space="preserve"> ()</v>
      </c>
    </row>
    <row r="512" spans="1:14" x14ac:dyDescent="0.3">
      <c r="A512" s="34"/>
      <c r="B512" s="38"/>
      <c r="C512" s="34"/>
      <c r="D512" s="21"/>
      <c r="E512" s="21"/>
      <c r="G512" s="21"/>
      <c r="H512" s="21"/>
      <c r="I512" s="34"/>
      <c r="J512" s="34"/>
      <c r="K512" s="39">
        <f>VLOOKUP(A512,OPTIONS!A:C,3,FALSE)*G512</f>
        <v>0</v>
      </c>
      <c r="L512" s="39" t="str">
        <f t="shared" si="27"/>
        <v/>
      </c>
      <c r="M512" s="39" t="str">
        <f t="shared" si="28"/>
        <v>0</v>
      </c>
      <c r="N512" s="39" t="str">
        <f t="shared" si="29"/>
        <v xml:space="preserve"> ()</v>
      </c>
    </row>
    <row r="513" spans="1:14" x14ac:dyDescent="0.3">
      <c r="A513" s="34"/>
      <c r="B513" s="38"/>
      <c r="C513" s="34"/>
      <c r="D513" s="21"/>
      <c r="E513" s="21"/>
      <c r="G513" s="21"/>
      <c r="H513" s="21"/>
      <c r="I513" s="34"/>
      <c r="J513" s="34"/>
      <c r="K513" s="39">
        <f>VLOOKUP(A513,OPTIONS!A:C,3,FALSE)*G513</f>
        <v>0</v>
      </c>
      <c r="L513" s="39" t="str">
        <f t="shared" si="27"/>
        <v/>
      </c>
      <c r="M513" s="39" t="str">
        <f t="shared" si="28"/>
        <v>0</v>
      </c>
      <c r="N513" s="39" t="str">
        <f t="shared" si="29"/>
        <v xml:space="preserve"> ()</v>
      </c>
    </row>
    <row r="514" spans="1:14" x14ac:dyDescent="0.3">
      <c r="A514" s="34"/>
      <c r="B514" s="38"/>
      <c r="C514" s="34"/>
      <c r="D514" s="21"/>
      <c r="E514" s="21"/>
      <c r="G514" s="21"/>
      <c r="H514" s="21"/>
      <c r="I514" s="34"/>
      <c r="J514" s="34"/>
      <c r="K514" s="39">
        <f>VLOOKUP(A514,OPTIONS!A:C,3,FALSE)*G514</f>
        <v>0</v>
      </c>
      <c r="L514" s="39" t="str">
        <f t="shared" si="27"/>
        <v/>
      </c>
      <c r="M514" s="39" t="str">
        <f t="shared" si="28"/>
        <v>0</v>
      </c>
      <c r="N514" s="39" t="str">
        <f t="shared" si="29"/>
        <v xml:space="preserve"> ()</v>
      </c>
    </row>
    <row r="515" spans="1:14" x14ac:dyDescent="0.3">
      <c r="A515" s="34"/>
      <c r="B515" s="38"/>
      <c r="C515" s="34"/>
      <c r="D515" s="21"/>
      <c r="E515" s="21"/>
      <c r="G515" s="21"/>
      <c r="H515" s="21"/>
      <c r="I515" s="34"/>
      <c r="J515" s="34"/>
      <c r="K515" s="39">
        <f>VLOOKUP(A515,OPTIONS!A:C,3,FALSE)*G515</f>
        <v>0</v>
      </c>
      <c r="L515" s="39" t="str">
        <f t="shared" si="27"/>
        <v/>
      </c>
      <c r="M515" s="39" t="str">
        <f t="shared" si="28"/>
        <v>0</v>
      </c>
      <c r="N515" s="39" t="str">
        <f t="shared" si="29"/>
        <v xml:space="preserve"> ()</v>
      </c>
    </row>
    <row r="516" spans="1:14" x14ac:dyDescent="0.3">
      <c r="A516" s="34"/>
      <c r="B516" s="38"/>
      <c r="C516" s="34"/>
      <c r="D516" s="21"/>
      <c r="E516" s="21"/>
      <c r="G516" s="21"/>
      <c r="H516" s="21"/>
      <c r="I516" s="34"/>
      <c r="J516" s="34"/>
      <c r="K516" s="39">
        <f>VLOOKUP(A516,OPTIONS!A:C,3,FALSE)*G516</f>
        <v>0</v>
      </c>
      <c r="L516" s="39" t="str">
        <f t="shared" si="27"/>
        <v/>
      </c>
      <c r="M516" s="39" t="str">
        <f t="shared" si="28"/>
        <v>0</v>
      </c>
      <c r="N516" s="39" t="str">
        <f t="shared" si="29"/>
        <v xml:space="preserve"> ()</v>
      </c>
    </row>
    <row r="517" spans="1:14" x14ac:dyDescent="0.3">
      <c r="A517" s="34"/>
      <c r="B517" s="38"/>
      <c r="C517" s="34"/>
      <c r="D517" s="21"/>
      <c r="E517" s="21"/>
      <c r="G517" s="21"/>
      <c r="H517" s="21"/>
      <c r="I517" s="34"/>
      <c r="J517" s="34"/>
      <c r="K517" s="39">
        <f>VLOOKUP(A517,OPTIONS!A:C,3,FALSE)*G517</f>
        <v>0</v>
      </c>
      <c r="L517" s="39" t="str">
        <f t="shared" si="27"/>
        <v/>
      </c>
      <c r="M517" s="39" t="str">
        <f t="shared" si="28"/>
        <v>0</v>
      </c>
      <c r="N517" s="39" t="str">
        <f t="shared" si="29"/>
        <v xml:space="preserve"> ()</v>
      </c>
    </row>
    <row r="518" spans="1:14" x14ac:dyDescent="0.3">
      <c r="A518" s="34"/>
      <c r="B518" s="38"/>
      <c r="C518" s="34"/>
      <c r="D518" s="21"/>
      <c r="E518" s="21"/>
      <c r="G518" s="21"/>
      <c r="H518" s="21"/>
      <c r="I518" s="34"/>
      <c r="J518" s="34"/>
      <c r="K518" s="39">
        <f>VLOOKUP(A518,OPTIONS!A:C,3,FALSE)*G518</f>
        <v>0</v>
      </c>
      <c r="L518" s="39" t="str">
        <f t="shared" si="27"/>
        <v/>
      </c>
      <c r="M518" s="39" t="str">
        <f t="shared" si="28"/>
        <v>0</v>
      </c>
      <c r="N518" s="39" t="str">
        <f t="shared" si="29"/>
        <v xml:space="preserve"> ()</v>
      </c>
    </row>
    <row r="519" spans="1:14" x14ac:dyDescent="0.3">
      <c r="A519" s="34"/>
      <c r="B519" s="38"/>
      <c r="C519" s="34"/>
      <c r="D519" s="21"/>
      <c r="E519" s="21"/>
      <c r="G519" s="21"/>
      <c r="H519" s="21"/>
      <c r="I519" s="34"/>
      <c r="J519" s="34"/>
      <c r="K519" s="39">
        <f>VLOOKUP(A519,OPTIONS!A:C,3,FALSE)*G519</f>
        <v>0</v>
      </c>
      <c r="L519" s="39" t="str">
        <f t="shared" si="27"/>
        <v/>
      </c>
      <c r="M519" s="39" t="str">
        <f t="shared" si="28"/>
        <v>0</v>
      </c>
      <c r="N519" s="39" t="str">
        <f t="shared" si="29"/>
        <v xml:space="preserve"> ()</v>
      </c>
    </row>
    <row r="520" spans="1:14" x14ac:dyDescent="0.3">
      <c r="A520" s="34"/>
      <c r="B520" s="38"/>
      <c r="C520" s="34"/>
      <c r="D520" s="21"/>
      <c r="E520" s="21"/>
      <c r="G520" s="21"/>
      <c r="H520" s="21"/>
      <c r="I520" s="34"/>
      <c r="J520" s="34"/>
      <c r="K520" s="39">
        <f>VLOOKUP(A520,OPTIONS!A:C,3,FALSE)*G520</f>
        <v>0</v>
      </c>
      <c r="L520" s="39" t="str">
        <f t="shared" si="27"/>
        <v/>
      </c>
      <c r="M520" s="39" t="str">
        <f t="shared" si="28"/>
        <v>0</v>
      </c>
      <c r="N520" s="39" t="str">
        <f t="shared" si="29"/>
        <v xml:space="preserve"> ()</v>
      </c>
    </row>
    <row r="521" spans="1:14" x14ac:dyDescent="0.3">
      <c r="A521" s="34"/>
      <c r="B521" s="38"/>
      <c r="C521" s="34"/>
      <c r="D521" s="21"/>
      <c r="E521" s="21"/>
      <c r="G521" s="21"/>
      <c r="H521" s="21"/>
      <c r="I521" s="34"/>
      <c r="J521" s="34"/>
      <c r="K521" s="39">
        <f>VLOOKUP(A521,OPTIONS!A:C,3,FALSE)*G521</f>
        <v>0</v>
      </c>
      <c r="L521" s="39" t="str">
        <f t="shared" si="27"/>
        <v/>
      </c>
      <c r="M521" s="39" t="str">
        <f t="shared" si="28"/>
        <v>0</v>
      </c>
      <c r="N521" s="39" t="str">
        <f t="shared" si="29"/>
        <v xml:space="preserve"> ()</v>
      </c>
    </row>
    <row r="522" spans="1:14" x14ac:dyDescent="0.3">
      <c r="A522" s="34"/>
      <c r="B522" s="38"/>
      <c r="C522" s="34"/>
      <c r="D522" s="21"/>
      <c r="E522" s="21"/>
      <c r="G522" s="21"/>
      <c r="H522" s="21"/>
      <c r="I522" s="34"/>
      <c r="J522" s="34"/>
      <c r="K522" s="39">
        <f>VLOOKUP(A522,OPTIONS!A:C,3,FALSE)*G522</f>
        <v>0</v>
      </c>
      <c r="L522" s="39" t="str">
        <f t="shared" si="27"/>
        <v/>
      </c>
      <c r="M522" s="39" t="str">
        <f t="shared" si="28"/>
        <v>0</v>
      </c>
      <c r="N522" s="39" t="str">
        <f t="shared" si="29"/>
        <v xml:space="preserve"> ()</v>
      </c>
    </row>
    <row r="523" spans="1:14" x14ac:dyDescent="0.3">
      <c r="A523" s="34"/>
      <c r="B523" s="38"/>
      <c r="C523" s="34"/>
      <c r="D523" s="21"/>
      <c r="E523" s="21"/>
      <c r="G523" s="21"/>
      <c r="H523" s="21"/>
      <c r="I523" s="34"/>
      <c r="J523" s="34"/>
      <c r="K523" s="39">
        <f>VLOOKUP(A523,OPTIONS!A:C,3,FALSE)*G523</f>
        <v>0</v>
      </c>
      <c r="L523" s="39" t="str">
        <f t="shared" si="27"/>
        <v/>
      </c>
      <c r="M523" s="39" t="str">
        <f t="shared" si="28"/>
        <v>0</v>
      </c>
      <c r="N523" s="39" t="str">
        <f t="shared" si="29"/>
        <v xml:space="preserve"> ()</v>
      </c>
    </row>
    <row r="524" spans="1:14" x14ac:dyDescent="0.3">
      <c r="A524" s="34"/>
      <c r="B524" s="38"/>
      <c r="C524" s="34"/>
      <c r="D524" s="21"/>
      <c r="E524" s="21"/>
      <c r="G524" s="21"/>
      <c r="H524" s="21"/>
      <c r="I524" s="34"/>
      <c r="J524" s="34"/>
      <c r="K524" s="39">
        <f>VLOOKUP(A524,OPTIONS!A:C,3,FALSE)*G524</f>
        <v>0</v>
      </c>
      <c r="L524" s="39" t="str">
        <f t="shared" si="27"/>
        <v/>
      </c>
      <c r="M524" s="39" t="str">
        <f t="shared" si="28"/>
        <v>0</v>
      </c>
      <c r="N524" s="39" t="str">
        <f t="shared" si="29"/>
        <v xml:space="preserve"> ()</v>
      </c>
    </row>
    <row r="525" spans="1:14" x14ac:dyDescent="0.3">
      <c r="A525" s="34"/>
      <c r="B525" s="38"/>
      <c r="C525" s="34"/>
      <c r="D525" s="21"/>
      <c r="E525" s="21"/>
      <c r="G525" s="21"/>
      <c r="H525" s="21"/>
      <c r="I525" s="34"/>
      <c r="J525" s="34"/>
      <c r="K525" s="39">
        <f>VLOOKUP(A525,OPTIONS!A:C,3,FALSE)*G525</f>
        <v>0</v>
      </c>
      <c r="L525" s="39" t="str">
        <f t="shared" si="27"/>
        <v/>
      </c>
      <c r="M525" s="39" t="str">
        <f t="shared" si="28"/>
        <v>0</v>
      </c>
      <c r="N525" s="39" t="str">
        <f t="shared" si="29"/>
        <v xml:space="preserve"> ()</v>
      </c>
    </row>
    <row r="526" spans="1:14" x14ac:dyDescent="0.3">
      <c r="A526" s="34"/>
      <c r="B526" s="38"/>
      <c r="C526" s="34"/>
      <c r="D526" s="21"/>
      <c r="E526" s="21"/>
      <c r="G526" s="21"/>
      <c r="H526" s="21"/>
      <c r="I526" s="34"/>
      <c r="J526" s="34"/>
      <c r="K526" s="39">
        <f>VLOOKUP(A526,OPTIONS!A:C,3,FALSE)*G526</f>
        <v>0</v>
      </c>
      <c r="L526" s="39" t="str">
        <f t="shared" si="27"/>
        <v/>
      </c>
      <c r="M526" s="39" t="str">
        <f t="shared" si="28"/>
        <v>0</v>
      </c>
      <c r="N526" s="39" t="str">
        <f t="shared" si="29"/>
        <v xml:space="preserve"> ()</v>
      </c>
    </row>
    <row r="527" spans="1:14" x14ac:dyDescent="0.3">
      <c r="A527" s="34"/>
      <c r="B527" s="38"/>
      <c r="C527" s="34"/>
      <c r="D527" s="21"/>
      <c r="E527" s="21"/>
      <c r="G527" s="21"/>
      <c r="H527" s="21"/>
      <c r="I527" s="34"/>
      <c r="J527" s="34"/>
      <c r="K527" s="39">
        <f>VLOOKUP(A527,OPTIONS!A:C,3,FALSE)*G527</f>
        <v>0</v>
      </c>
      <c r="L527" s="39" t="str">
        <f t="shared" si="27"/>
        <v/>
      </c>
      <c r="M527" s="39" t="str">
        <f t="shared" si="28"/>
        <v>0</v>
      </c>
      <c r="N527" s="39" t="str">
        <f t="shared" si="29"/>
        <v xml:space="preserve"> ()</v>
      </c>
    </row>
    <row r="528" spans="1:14" x14ac:dyDescent="0.3">
      <c r="A528" s="34"/>
      <c r="B528" s="38"/>
      <c r="C528" s="34"/>
      <c r="D528" s="21"/>
      <c r="E528" s="21"/>
      <c r="G528" s="21"/>
      <c r="H528" s="21"/>
      <c r="I528" s="34"/>
      <c r="J528" s="34"/>
      <c r="K528" s="39">
        <f>VLOOKUP(A528,OPTIONS!A:C,3,FALSE)*G528</f>
        <v>0</v>
      </c>
      <c r="L528" s="39" t="str">
        <f t="shared" si="27"/>
        <v/>
      </c>
      <c r="M528" s="39" t="str">
        <f t="shared" si="28"/>
        <v>0</v>
      </c>
      <c r="N528" s="39" t="str">
        <f t="shared" si="29"/>
        <v xml:space="preserve"> ()</v>
      </c>
    </row>
    <row r="529" spans="1:14" x14ac:dyDescent="0.3">
      <c r="A529" s="34"/>
      <c r="B529" s="38"/>
      <c r="C529" s="34"/>
      <c r="D529" s="21"/>
      <c r="E529" s="21"/>
      <c r="G529" s="21"/>
      <c r="H529" s="21"/>
      <c r="I529" s="34"/>
      <c r="J529" s="34"/>
      <c r="K529" s="39">
        <f>VLOOKUP(A529,OPTIONS!A:C,3,FALSE)*G529</f>
        <v>0</v>
      </c>
      <c r="L529" s="39" t="str">
        <f t="shared" si="27"/>
        <v/>
      </c>
      <c r="M529" s="39" t="str">
        <f t="shared" si="28"/>
        <v>0</v>
      </c>
      <c r="N529" s="39" t="str">
        <f t="shared" si="29"/>
        <v xml:space="preserve"> ()</v>
      </c>
    </row>
    <row r="530" spans="1:14" x14ac:dyDescent="0.3">
      <c r="A530" s="34"/>
      <c r="B530" s="38"/>
      <c r="C530" s="34"/>
      <c r="D530" s="21"/>
      <c r="E530" s="21"/>
      <c r="G530" s="21"/>
      <c r="H530" s="21"/>
      <c r="I530" s="34"/>
      <c r="J530" s="34"/>
      <c r="K530" s="39">
        <f>VLOOKUP(A530,OPTIONS!A:C,3,FALSE)*G530</f>
        <v>0</v>
      </c>
      <c r="L530" s="39" t="str">
        <f t="shared" si="27"/>
        <v/>
      </c>
      <c r="M530" s="39" t="str">
        <f t="shared" si="28"/>
        <v>0</v>
      </c>
      <c r="N530" s="39" t="str">
        <f t="shared" si="29"/>
        <v xml:space="preserve"> ()</v>
      </c>
    </row>
    <row r="531" spans="1:14" x14ac:dyDescent="0.3">
      <c r="A531" s="34"/>
      <c r="B531" s="38"/>
      <c r="C531" s="34"/>
      <c r="D531" s="21"/>
      <c r="E531" s="21"/>
      <c r="G531" s="21"/>
      <c r="H531" s="21"/>
      <c r="I531" s="34"/>
      <c r="J531" s="34"/>
      <c r="K531" s="39">
        <f>VLOOKUP(A531,OPTIONS!A:C,3,FALSE)*G531</f>
        <v>0</v>
      </c>
      <c r="L531" s="39" t="str">
        <f t="shared" si="27"/>
        <v/>
      </c>
      <c r="M531" s="39" t="str">
        <f t="shared" si="28"/>
        <v>0</v>
      </c>
      <c r="N531" s="39" t="str">
        <f t="shared" si="29"/>
        <v xml:space="preserve"> ()</v>
      </c>
    </row>
    <row r="532" spans="1:14" x14ac:dyDescent="0.3">
      <c r="A532" s="34"/>
      <c r="B532" s="38"/>
      <c r="C532" s="34"/>
      <c r="D532" s="21"/>
      <c r="E532" s="21"/>
      <c r="G532" s="21"/>
      <c r="H532" s="21"/>
      <c r="I532" s="34"/>
      <c r="J532" s="34"/>
      <c r="K532" s="39">
        <f>VLOOKUP(A532,OPTIONS!A:C,3,FALSE)*G532</f>
        <v>0</v>
      </c>
      <c r="L532" s="39" t="str">
        <f t="shared" si="27"/>
        <v/>
      </c>
      <c r="M532" s="39" t="str">
        <f t="shared" si="28"/>
        <v>0</v>
      </c>
      <c r="N532" s="39" t="str">
        <f t="shared" si="29"/>
        <v xml:space="preserve"> ()</v>
      </c>
    </row>
    <row r="533" spans="1:14" x14ac:dyDescent="0.3">
      <c r="A533" s="34"/>
      <c r="B533" s="38"/>
      <c r="C533" s="34"/>
      <c r="D533" s="21"/>
      <c r="E533" s="21"/>
      <c r="G533" s="21"/>
      <c r="H533" s="21"/>
      <c r="I533" s="34"/>
      <c r="J533" s="34"/>
      <c r="K533" s="39">
        <f>VLOOKUP(A533,OPTIONS!A:C,3,FALSE)*G533</f>
        <v>0</v>
      </c>
      <c r="L533" s="39" t="str">
        <f t="shared" si="27"/>
        <v/>
      </c>
      <c r="M533" s="39" t="str">
        <f t="shared" si="28"/>
        <v>0</v>
      </c>
      <c r="N533" s="39" t="str">
        <f t="shared" si="29"/>
        <v xml:space="preserve"> ()</v>
      </c>
    </row>
    <row r="534" spans="1:14" x14ac:dyDescent="0.3">
      <c r="A534" s="34"/>
      <c r="B534" s="38"/>
      <c r="C534" s="34"/>
      <c r="D534" s="21"/>
      <c r="E534" s="21"/>
      <c r="G534" s="21"/>
      <c r="H534" s="21"/>
      <c r="I534" s="34"/>
      <c r="J534" s="34"/>
      <c r="K534" s="39">
        <f>VLOOKUP(A534,OPTIONS!A:C,3,FALSE)*G534</f>
        <v>0</v>
      </c>
      <c r="L534" s="39" t="str">
        <f t="shared" si="27"/>
        <v/>
      </c>
      <c r="M534" s="39" t="str">
        <f t="shared" si="28"/>
        <v>0</v>
      </c>
      <c r="N534" s="39" t="str">
        <f t="shared" si="29"/>
        <v xml:space="preserve"> ()</v>
      </c>
    </row>
    <row r="535" spans="1:14" x14ac:dyDescent="0.3">
      <c r="A535" s="34"/>
      <c r="B535" s="38"/>
      <c r="C535" s="34"/>
      <c r="D535" s="21"/>
      <c r="E535" s="21"/>
      <c r="G535" s="21"/>
      <c r="H535" s="21"/>
      <c r="I535" s="34"/>
      <c r="J535" s="34"/>
      <c r="K535" s="39">
        <f>VLOOKUP(A535,OPTIONS!A:C,3,FALSE)*G535</f>
        <v>0</v>
      </c>
      <c r="L535" s="39" t="str">
        <f t="shared" si="27"/>
        <v/>
      </c>
      <c r="M535" s="39" t="str">
        <f t="shared" si="28"/>
        <v>0</v>
      </c>
      <c r="N535" s="39" t="str">
        <f t="shared" si="29"/>
        <v xml:space="preserve"> ()</v>
      </c>
    </row>
    <row r="536" spans="1:14" x14ac:dyDescent="0.3">
      <c r="A536" s="34"/>
      <c r="B536" s="38"/>
      <c r="C536" s="34"/>
      <c r="D536" s="21"/>
      <c r="E536" s="21"/>
      <c r="G536" s="21"/>
      <c r="H536" s="21"/>
      <c r="I536" s="34"/>
      <c r="J536" s="34"/>
      <c r="K536" s="39">
        <f>VLOOKUP(A536,OPTIONS!A:C,3,FALSE)*G536</f>
        <v>0</v>
      </c>
      <c r="L536" s="39" t="str">
        <f t="shared" si="27"/>
        <v/>
      </c>
      <c r="M536" s="39" t="str">
        <f t="shared" si="28"/>
        <v>0</v>
      </c>
      <c r="N536" s="39" t="str">
        <f t="shared" si="29"/>
        <v xml:space="preserve"> ()</v>
      </c>
    </row>
    <row r="537" spans="1:14" x14ac:dyDescent="0.3">
      <c r="A537" s="34"/>
      <c r="B537" s="38"/>
      <c r="C537" s="34"/>
      <c r="D537" s="21"/>
      <c r="E537" s="21"/>
      <c r="G537" s="21"/>
      <c r="H537" s="21"/>
      <c r="I537" s="34"/>
      <c r="J537" s="34"/>
      <c r="K537" s="39">
        <f>VLOOKUP(A537,OPTIONS!A:C,3,FALSE)*G537</f>
        <v>0</v>
      </c>
      <c r="L537" s="39" t="str">
        <f t="shared" ref="L537:L588" si="30">TRIM(CONCATENATE(G537," ", $H537, " ", $E537))</f>
        <v/>
      </c>
      <c r="M537" s="39" t="str">
        <f t="shared" ref="M537:M588" si="31">TRIM(CONCATENATE(K537," ", $H537, " ", $E537))</f>
        <v>0</v>
      </c>
      <c r="N537" s="39" t="str">
        <f t="shared" ref="N537:N588" si="32">CONCATENATE(E537, " (", TRIM(H537), ")")</f>
        <v xml:space="preserve"> ()</v>
      </c>
    </row>
    <row r="538" spans="1:14" x14ac:dyDescent="0.3">
      <c r="A538" s="34"/>
      <c r="B538" s="38"/>
      <c r="C538" s="34"/>
      <c r="D538" s="21"/>
      <c r="E538" s="21"/>
      <c r="G538" s="21"/>
      <c r="H538" s="21"/>
      <c r="I538" s="34"/>
      <c r="J538" s="34"/>
      <c r="K538" s="39">
        <f>VLOOKUP(A538,OPTIONS!A:C,3,FALSE)*G538</f>
        <v>0</v>
      </c>
      <c r="L538" s="39" t="str">
        <f t="shared" si="30"/>
        <v/>
      </c>
      <c r="M538" s="39" t="str">
        <f t="shared" si="31"/>
        <v>0</v>
      </c>
      <c r="N538" s="39" t="str">
        <f t="shared" si="32"/>
        <v xml:space="preserve"> ()</v>
      </c>
    </row>
    <row r="539" spans="1:14" x14ac:dyDescent="0.3">
      <c r="A539" s="34"/>
      <c r="B539" s="38"/>
      <c r="C539" s="34"/>
      <c r="D539" s="21"/>
      <c r="E539" s="21"/>
      <c r="G539" s="21"/>
      <c r="H539" s="21"/>
      <c r="I539" s="34"/>
      <c r="J539" s="34"/>
      <c r="K539" s="39">
        <f>VLOOKUP(A539,OPTIONS!A:C,3,FALSE)*G539</f>
        <v>0</v>
      </c>
      <c r="L539" s="39" t="str">
        <f t="shared" si="30"/>
        <v/>
      </c>
      <c r="M539" s="39" t="str">
        <f t="shared" si="31"/>
        <v>0</v>
      </c>
      <c r="N539" s="39" t="str">
        <f t="shared" si="32"/>
        <v xml:space="preserve"> ()</v>
      </c>
    </row>
    <row r="540" spans="1:14" x14ac:dyDescent="0.3">
      <c r="A540" s="34"/>
      <c r="B540" s="38"/>
      <c r="C540" s="34"/>
      <c r="D540" s="21"/>
      <c r="E540" s="21"/>
      <c r="G540" s="21"/>
      <c r="H540" s="21"/>
      <c r="I540" s="34"/>
      <c r="J540" s="34"/>
      <c r="K540" s="39">
        <f>VLOOKUP(A540,OPTIONS!A:C,3,FALSE)*G540</f>
        <v>0</v>
      </c>
      <c r="L540" s="39" t="str">
        <f t="shared" si="30"/>
        <v/>
      </c>
      <c r="M540" s="39" t="str">
        <f t="shared" si="31"/>
        <v>0</v>
      </c>
      <c r="N540" s="39" t="str">
        <f t="shared" si="32"/>
        <v xml:space="preserve"> ()</v>
      </c>
    </row>
    <row r="541" spans="1:14" x14ac:dyDescent="0.3">
      <c r="A541" s="34"/>
      <c r="B541" s="38"/>
      <c r="C541" s="34"/>
      <c r="D541" s="21"/>
      <c r="E541" s="21"/>
      <c r="G541" s="21"/>
      <c r="H541" s="21"/>
      <c r="I541" s="34"/>
      <c r="J541" s="34"/>
      <c r="K541" s="39">
        <f>VLOOKUP(A541,OPTIONS!A:C,3,FALSE)*G541</f>
        <v>0</v>
      </c>
      <c r="L541" s="39" t="str">
        <f t="shared" si="30"/>
        <v/>
      </c>
      <c r="M541" s="39" t="str">
        <f t="shared" si="31"/>
        <v>0</v>
      </c>
      <c r="N541" s="39" t="str">
        <f t="shared" si="32"/>
        <v xml:space="preserve"> ()</v>
      </c>
    </row>
    <row r="542" spans="1:14" x14ac:dyDescent="0.3">
      <c r="A542" s="34"/>
      <c r="B542" s="38"/>
      <c r="C542" s="34"/>
      <c r="D542" s="21"/>
      <c r="E542" s="21"/>
      <c r="G542" s="21"/>
      <c r="H542" s="21"/>
      <c r="I542" s="34"/>
      <c r="J542" s="34"/>
      <c r="K542" s="39">
        <f>VLOOKUP(A542,OPTIONS!A:C,3,FALSE)*G542</f>
        <v>0</v>
      </c>
      <c r="L542" s="39" t="str">
        <f t="shared" si="30"/>
        <v/>
      </c>
      <c r="M542" s="39" t="str">
        <f t="shared" si="31"/>
        <v>0</v>
      </c>
      <c r="N542" s="39" t="str">
        <f t="shared" si="32"/>
        <v xml:space="preserve"> ()</v>
      </c>
    </row>
    <row r="543" spans="1:14" x14ac:dyDescent="0.3">
      <c r="A543" s="34"/>
      <c r="B543" s="38"/>
      <c r="C543" s="34"/>
      <c r="D543" s="21"/>
      <c r="E543" s="21"/>
      <c r="G543" s="21"/>
      <c r="H543" s="21"/>
      <c r="I543" s="34"/>
      <c r="J543" s="34"/>
      <c r="K543" s="39">
        <f>VLOOKUP(A543,OPTIONS!A:C,3,FALSE)*G543</f>
        <v>0</v>
      </c>
      <c r="L543" s="39" t="str">
        <f t="shared" si="30"/>
        <v/>
      </c>
      <c r="M543" s="39" t="str">
        <f t="shared" si="31"/>
        <v>0</v>
      </c>
      <c r="N543" s="39" t="str">
        <f t="shared" si="32"/>
        <v xml:space="preserve"> ()</v>
      </c>
    </row>
    <row r="544" spans="1:14" x14ac:dyDescent="0.3">
      <c r="A544" s="34"/>
      <c r="B544" s="38"/>
      <c r="C544" s="34"/>
      <c r="D544" s="21"/>
      <c r="E544" s="21"/>
      <c r="G544" s="21"/>
      <c r="H544" s="21"/>
      <c r="I544" s="34"/>
      <c r="J544" s="34"/>
      <c r="K544" s="39">
        <f>VLOOKUP(A544,OPTIONS!A:C,3,FALSE)*G544</f>
        <v>0</v>
      </c>
      <c r="L544" s="39" t="str">
        <f t="shared" si="30"/>
        <v/>
      </c>
      <c r="M544" s="39" t="str">
        <f t="shared" si="31"/>
        <v>0</v>
      </c>
      <c r="N544" s="39" t="str">
        <f t="shared" si="32"/>
        <v xml:space="preserve"> ()</v>
      </c>
    </row>
    <row r="545" spans="1:14" x14ac:dyDescent="0.3">
      <c r="A545" s="34"/>
      <c r="B545" s="38"/>
      <c r="C545" s="34"/>
      <c r="D545" s="21"/>
      <c r="E545" s="21"/>
      <c r="G545" s="21"/>
      <c r="H545" s="21"/>
      <c r="I545" s="34"/>
      <c r="J545" s="34"/>
      <c r="K545" s="39">
        <f>VLOOKUP(A545,OPTIONS!A:C,3,FALSE)*G545</f>
        <v>0</v>
      </c>
      <c r="L545" s="39" t="str">
        <f t="shared" si="30"/>
        <v/>
      </c>
      <c r="M545" s="39" t="str">
        <f t="shared" si="31"/>
        <v>0</v>
      </c>
      <c r="N545" s="39" t="str">
        <f t="shared" si="32"/>
        <v xml:space="preserve"> ()</v>
      </c>
    </row>
    <row r="546" spans="1:14" x14ac:dyDescent="0.3">
      <c r="A546" s="34"/>
      <c r="B546" s="38"/>
      <c r="C546" s="34"/>
      <c r="D546" s="21"/>
      <c r="E546" s="21"/>
      <c r="G546" s="21"/>
      <c r="H546" s="21"/>
      <c r="I546" s="34"/>
      <c r="J546" s="34"/>
      <c r="K546" s="39">
        <f>VLOOKUP(A546,OPTIONS!A:C,3,FALSE)*G546</f>
        <v>0</v>
      </c>
      <c r="L546" s="39" t="str">
        <f t="shared" si="30"/>
        <v/>
      </c>
      <c r="M546" s="39" t="str">
        <f t="shared" si="31"/>
        <v>0</v>
      </c>
      <c r="N546" s="39" t="str">
        <f t="shared" si="32"/>
        <v xml:space="preserve"> ()</v>
      </c>
    </row>
    <row r="547" spans="1:14" x14ac:dyDescent="0.3">
      <c r="A547" s="34"/>
      <c r="B547" s="38"/>
      <c r="C547" s="34"/>
      <c r="D547" s="21"/>
      <c r="E547" s="21"/>
      <c r="G547" s="21"/>
      <c r="H547" s="21"/>
      <c r="I547" s="34"/>
      <c r="J547" s="34"/>
      <c r="K547" s="39">
        <f>VLOOKUP(A547,OPTIONS!A:C,3,FALSE)*G547</f>
        <v>0</v>
      </c>
      <c r="L547" s="39" t="str">
        <f t="shared" si="30"/>
        <v/>
      </c>
      <c r="M547" s="39" t="str">
        <f t="shared" si="31"/>
        <v>0</v>
      </c>
      <c r="N547" s="39" t="str">
        <f t="shared" si="32"/>
        <v xml:space="preserve"> ()</v>
      </c>
    </row>
    <row r="548" spans="1:14" x14ac:dyDescent="0.3">
      <c r="A548" s="34"/>
      <c r="B548" s="38"/>
      <c r="C548" s="34"/>
      <c r="D548" s="21"/>
      <c r="E548" s="21"/>
      <c r="G548" s="21"/>
      <c r="H548" s="21"/>
      <c r="I548" s="34"/>
      <c r="J548" s="34"/>
      <c r="K548" s="39">
        <f>VLOOKUP(A548,OPTIONS!A:C,3,FALSE)*G548</f>
        <v>0</v>
      </c>
      <c r="L548" s="39" t="str">
        <f t="shared" si="30"/>
        <v/>
      </c>
      <c r="M548" s="39" t="str">
        <f t="shared" si="31"/>
        <v>0</v>
      </c>
      <c r="N548" s="39" t="str">
        <f t="shared" si="32"/>
        <v xml:space="preserve"> ()</v>
      </c>
    </row>
    <row r="549" spans="1:14" x14ac:dyDescent="0.3">
      <c r="A549" s="34"/>
      <c r="B549" s="38"/>
      <c r="C549" s="34"/>
      <c r="D549" s="21"/>
      <c r="E549" s="21"/>
      <c r="G549" s="21"/>
      <c r="H549" s="21"/>
      <c r="I549" s="34"/>
      <c r="J549" s="34"/>
      <c r="K549" s="39">
        <f>VLOOKUP(A549,OPTIONS!A:C,3,FALSE)*G549</f>
        <v>0</v>
      </c>
      <c r="L549" s="39" t="str">
        <f t="shared" si="30"/>
        <v/>
      </c>
      <c r="M549" s="39" t="str">
        <f t="shared" si="31"/>
        <v>0</v>
      </c>
      <c r="N549" s="39" t="str">
        <f t="shared" si="32"/>
        <v xml:space="preserve"> ()</v>
      </c>
    </row>
    <row r="550" spans="1:14" x14ac:dyDescent="0.3">
      <c r="A550" s="34"/>
      <c r="B550" s="38"/>
      <c r="C550" s="34"/>
      <c r="D550" s="21"/>
      <c r="E550" s="21"/>
      <c r="G550" s="21"/>
      <c r="H550" s="21"/>
      <c r="I550" s="34"/>
      <c r="J550" s="34"/>
      <c r="K550" s="39">
        <f>VLOOKUP(A550,OPTIONS!A:C,3,FALSE)*G550</f>
        <v>0</v>
      </c>
      <c r="L550" s="39" t="str">
        <f t="shared" si="30"/>
        <v/>
      </c>
      <c r="M550" s="39" t="str">
        <f t="shared" si="31"/>
        <v>0</v>
      </c>
      <c r="N550" s="39" t="str">
        <f t="shared" si="32"/>
        <v xml:space="preserve"> ()</v>
      </c>
    </row>
    <row r="551" spans="1:14" x14ac:dyDescent="0.3">
      <c r="A551" s="34"/>
      <c r="B551" s="38"/>
      <c r="C551" s="34"/>
      <c r="D551" s="21"/>
      <c r="E551" s="21"/>
      <c r="G551" s="21"/>
      <c r="H551" s="21"/>
      <c r="I551" s="34"/>
      <c r="J551" s="34"/>
      <c r="K551" s="39">
        <f>VLOOKUP(A551,OPTIONS!A:C,3,FALSE)*G551</f>
        <v>0</v>
      </c>
      <c r="L551" s="39" t="str">
        <f t="shared" si="30"/>
        <v/>
      </c>
      <c r="M551" s="39" t="str">
        <f t="shared" si="31"/>
        <v>0</v>
      </c>
      <c r="N551" s="39" t="str">
        <f t="shared" si="32"/>
        <v xml:space="preserve"> ()</v>
      </c>
    </row>
    <row r="552" spans="1:14" x14ac:dyDescent="0.3">
      <c r="A552" s="34"/>
      <c r="B552" s="38"/>
      <c r="C552" s="34"/>
      <c r="D552" s="21"/>
      <c r="E552" s="21"/>
      <c r="G552" s="21"/>
      <c r="H552" s="21"/>
      <c r="I552" s="34"/>
      <c r="J552" s="34"/>
      <c r="K552" s="39">
        <f>VLOOKUP(A552,OPTIONS!A:C,3,FALSE)*G552</f>
        <v>0</v>
      </c>
      <c r="L552" s="39" t="str">
        <f t="shared" si="30"/>
        <v/>
      </c>
      <c r="M552" s="39" t="str">
        <f t="shared" si="31"/>
        <v>0</v>
      </c>
      <c r="N552" s="39" t="str">
        <f t="shared" si="32"/>
        <v xml:space="preserve"> ()</v>
      </c>
    </row>
    <row r="553" spans="1:14" x14ac:dyDescent="0.3">
      <c r="A553" s="34"/>
      <c r="B553" s="38"/>
      <c r="C553" s="34"/>
      <c r="D553" s="21"/>
      <c r="E553" s="21"/>
      <c r="G553" s="21"/>
      <c r="H553" s="21"/>
      <c r="I553" s="34"/>
      <c r="J553" s="34"/>
      <c r="K553" s="39">
        <f>VLOOKUP(A553,OPTIONS!A:C,3,FALSE)*G553</f>
        <v>0</v>
      </c>
      <c r="L553" s="39" t="str">
        <f t="shared" si="30"/>
        <v/>
      </c>
      <c r="M553" s="39" t="str">
        <f t="shared" si="31"/>
        <v>0</v>
      </c>
      <c r="N553" s="39" t="str">
        <f t="shared" si="32"/>
        <v xml:space="preserve"> ()</v>
      </c>
    </row>
    <row r="554" spans="1:14" x14ac:dyDescent="0.3">
      <c r="A554" s="34"/>
      <c r="B554" s="38"/>
      <c r="C554" s="34"/>
      <c r="D554" s="21"/>
      <c r="E554" s="21"/>
      <c r="G554" s="21"/>
      <c r="H554" s="21"/>
      <c r="I554" s="34"/>
      <c r="J554" s="34"/>
      <c r="K554" s="39">
        <f>VLOOKUP(A554,OPTIONS!A:C,3,FALSE)*G554</f>
        <v>0</v>
      </c>
      <c r="L554" s="39" t="str">
        <f t="shared" si="30"/>
        <v/>
      </c>
      <c r="M554" s="39" t="str">
        <f t="shared" si="31"/>
        <v>0</v>
      </c>
      <c r="N554" s="39" t="str">
        <f t="shared" si="32"/>
        <v xml:space="preserve"> ()</v>
      </c>
    </row>
    <row r="555" spans="1:14" x14ac:dyDescent="0.3">
      <c r="A555" s="34"/>
      <c r="B555" s="38"/>
      <c r="C555" s="34"/>
      <c r="D555" s="21"/>
      <c r="E555" s="21"/>
      <c r="G555" s="21"/>
      <c r="H555" s="21"/>
      <c r="I555" s="34"/>
      <c r="J555" s="34"/>
      <c r="K555" s="39">
        <f>VLOOKUP(A555,OPTIONS!A:C,3,FALSE)*G555</f>
        <v>0</v>
      </c>
      <c r="L555" s="39" t="str">
        <f t="shared" si="30"/>
        <v/>
      </c>
      <c r="M555" s="39" t="str">
        <f t="shared" si="31"/>
        <v>0</v>
      </c>
      <c r="N555" s="39" t="str">
        <f t="shared" si="32"/>
        <v xml:space="preserve"> ()</v>
      </c>
    </row>
    <row r="556" spans="1:14" x14ac:dyDescent="0.3">
      <c r="A556" s="34"/>
      <c r="B556" s="38"/>
      <c r="C556" s="34"/>
      <c r="D556" s="21"/>
      <c r="E556" s="21"/>
      <c r="G556" s="21"/>
      <c r="H556" s="21"/>
      <c r="I556" s="34"/>
      <c r="J556" s="34"/>
      <c r="K556" s="39">
        <f>VLOOKUP(A556,OPTIONS!A:C,3,FALSE)*G556</f>
        <v>0</v>
      </c>
      <c r="L556" s="39" t="str">
        <f t="shared" si="30"/>
        <v/>
      </c>
      <c r="M556" s="39" t="str">
        <f t="shared" si="31"/>
        <v>0</v>
      </c>
      <c r="N556" s="39" t="str">
        <f t="shared" si="32"/>
        <v xml:space="preserve"> ()</v>
      </c>
    </row>
    <row r="557" spans="1:14" x14ac:dyDescent="0.3">
      <c r="A557" s="34"/>
      <c r="B557" s="38"/>
      <c r="C557" s="34"/>
      <c r="D557" s="21"/>
      <c r="E557" s="21"/>
      <c r="G557" s="21"/>
      <c r="H557" s="21"/>
      <c r="I557" s="34"/>
      <c r="J557" s="34"/>
      <c r="K557" s="39">
        <f>VLOOKUP(A557,OPTIONS!A:C,3,FALSE)*G557</f>
        <v>0</v>
      </c>
      <c r="L557" s="39" t="str">
        <f t="shared" si="30"/>
        <v/>
      </c>
      <c r="M557" s="39" t="str">
        <f t="shared" si="31"/>
        <v>0</v>
      </c>
      <c r="N557" s="39" t="str">
        <f t="shared" si="32"/>
        <v xml:space="preserve"> ()</v>
      </c>
    </row>
    <row r="558" spans="1:14" x14ac:dyDescent="0.3">
      <c r="A558" s="34"/>
      <c r="B558" s="38"/>
      <c r="C558" s="34"/>
      <c r="D558" s="21"/>
      <c r="E558" s="21"/>
      <c r="G558" s="21"/>
      <c r="H558" s="21"/>
      <c r="I558" s="34"/>
      <c r="J558" s="34"/>
      <c r="K558" s="39">
        <f>VLOOKUP(A558,OPTIONS!A:C,3,FALSE)*G558</f>
        <v>0</v>
      </c>
      <c r="L558" s="39" t="str">
        <f t="shared" si="30"/>
        <v/>
      </c>
      <c r="M558" s="39" t="str">
        <f t="shared" si="31"/>
        <v>0</v>
      </c>
      <c r="N558" s="39" t="str">
        <f t="shared" si="32"/>
        <v xml:space="preserve"> ()</v>
      </c>
    </row>
    <row r="559" spans="1:14" x14ac:dyDescent="0.3">
      <c r="A559" s="34"/>
      <c r="B559" s="38"/>
      <c r="C559" s="34"/>
      <c r="D559" s="21"/>
      <c r="E559" s="21"/>
      <c r="G559" s="21"/>
      <c r="H559" s="21"/>
      <c r="I559" s="34"/>
      <c r="J559" s="34"/>
      <c r="K559" s="39">
        <f>VLOOKUP(A559,OPTIONS!A:C,3,FALSE)*G559</f>
        <v>0</v>
      </c>
      <c r="L559" s="39" t="str">
        <f t="shared" si="30"/>
        <v/>
      </c>
      <c r="M559" s="39" t="str">
        <f t="shared" si="31"/>
        <v>0</v>
      </c>
      <c r="N559" s="39" t="str">
        <f t="shared" si="32"/>
        <v xml:space="preserve"> ()</v>
      </c>
    </row>
    <row r="560" spans="1:14" x14ac:dyDescent="0.3">
      <c r="A560" s="34"/>
      <c r="B560" s="38"/>
      <c r="C560" s="34"/>
      <c r="D560" s="21"/>
      <c r="E560" s="21"/>
      <c r="G560" s="21"/>
      <c r="H560" s="21"/>
      <c r="I560" s="34"/>
      <c r="J560" s="34"/>
      <c r="K560" s="39">
        <f>VLOOKUP(A560,OPTIONS!A:C,3,FALSE)*G560</f>
        <v>0</v>
      </c>
      <c r="L560" s="39" t="str">
        <f t="shared" si="30"/>
        <v/>
      </c>
      <c r="M560" s="39" t="str">
        <f t="shared" si="31"/>
        <v>0</v>
      </c>
      <c r="N560" s="39" t="str">
        <f t="shared" si="32"/>
        <v xml:space="preserve"> ()</v>
      </c>
    </row>
    <row r="561" spans="1:14" x14ac:dyDescent="0.3">
      <c r="A561" s="34"/>
      <c r="B561" s="38"/>
      <c r="C561" s="34"/>
      <c r="D561" s="21"/>
      <c r="E561" s="21"/>
      <c r="G561" s="21"/>
      <c r="H561" s="21"/>
      <c r="I561" s="34"/>
      <c r="J561" s="34"/>
      <c r="K561" s="39">
        <f>VLOOKUP(A561,OPTIONS!A:C,3,FALSE)*G561</f>
        <v>0</v>
      </c>
      <c r="L561" s="39" t="str">
        <f t="shared" si="30"/>
        <v/>
      </c>
      <c r="M561" s="39" t="str">
        <f t="shared" si="31"/>
        <v>0</v>
      </c>
      <c r="N561" s="39" t="str">
        <f t="shared" si="32"/>
        <v xml:space="preserve"> ()</v>
      </c>
    </row>
    <row r="562" spans="1:14" x14ac:dyDescent="0.3">
      <c r="A562" s="34"/>
      <c r="B562" s="38"/>
      <c r="C562" s="34"/>
      <c r="D562" s="21"/>
      <c r="E562" s="21"/>
      <c r="G562" s="21"/>
      <c r="H562" s="21"/>
      <c r="I562" s="34"/>
      <c r="J562" s="34"/>
      <c r="K562" s="39">
        <f>VLOOKUP(A562,OPTIONS!A:C,3,FALSE)*G562</f>
        <v>0</v>
      </c>
      <c r="L562" s="39" t="str">
        <f t="shared" si="30"/>
        <v/>
      </c>
      <c r="M562" s="39" t="str">
        <f t="shared" si="31"/>
        <v>0</v>
      </c>
      <c r="N562" s="39" t="str">
        <f t="shared" si="32"/>
        <v xml:space="preserve"> ()</v>
      </c>
    </row>
    <row r="563" spans="1:14" x14ac:dyDescent="0.3">
      <c r="A563" s="34"/>
      <c r="B563" s="38"/>
      <c r="C563" s="34"/>
      <c r="D563" s="21"/>
      <c r="E563" s="21"/>
      <c r="G563" s="21"/>
      <c r="H563" s="21"/>
      <c r="I563" s="34"/>
      <c r="J563" s="34"/>
      <c r="K563" s="39">
        <f>VLOOKUP(A563,OPTIONS!A:C,3,FALSE)*G563</f>
        <v>0</v>
      </c>
      <c r="L563" s="39" t="str">
        <f t="shared" si="30"/>
        <v/>
      </c>
      <c r="M563" s="39" t="str">
        <f t="shared" si="31"/>
        <v>0</v>
      </c>
      <c r="N563" s="39" t="str">
        <f t="shared" si="32"/>
        <v xml:space="preserve"> ()</v>
      </c>
    </row>
    <row r="564" spans="1:14" x14ac:dyDescent="0.3">
      <c r="A564" s="34"/>
      <c r="B564" s="38"/>
      <c r="C564" s="34"/>
      <c r="D564" s="21"/>
      <c r="E564" s="21"/>
      <c r="G564" s="21"/>
      <c r="H564" s="21"/>
      <c r="I564" s="34"/>
      <c r="J564" s="34"/>
      <c r="K564" s="39">
        <f>VLOOKUP(A564,OPTIONS!A:C,3,FALSE)*G564</f>
        <v>0</v>
      </c>
      <c r="L564" s="39" t="str">
        <f t="shared" si="30"/>
        <v/>
      </c>
      <c r="M564" s="39" t="str">
        <f t="shared" si="31"/>
        <v>0</v>
      </c>
      <c r="N564" s="39" t="str">
        <f t="shared" si="32"/>
        <v xml:space="preserve"> ()</v>
      </c>
    </row>
    <row r="565" spans="1:14" x14ac:dyDescent="0.3">
      <c r="A565" s="34"/>
      <c r="B565" s="38"/>
      <c r="C565" s="34"/>
      <c r="D565" s="21"/>
      <c r="E565" s="21"/>
      <c r="G565" s="21"/>
      <c r="H565" s="21"/>
      <c r="I565" s="34"/>
      <c r="J565" s="34"/>
      <c r="K565" s="39">
        <f>VLOOKUP(A565,OPTIONS!A:C,3,FALSE)*G565</f>
        <v>0</v>
      </c>
      <c r="L565" s="39" t="str">
        <f t="shared" si="30"/>
        <v/>
      </c>
      <c r="M565" s="39" t="str">
        <f t="shared" si="31"/>
        <v>0</v>
      </c>
      <c r="N565" s="39" t="str">
        <f t="shared" si="32"/>
        <v xml:space="preserve"> ()</v>
      </c>
    </row>
    <row r="566" spans="1:14" x14ac:dyDescent="0.3">
      <c r="A566" s="34"/>
      <c r="B566" s="38"/>
      <c r="C566" s="34"/>
      <c r="D566" s="21"/>
      <c r="E566" s="21"/>
      <c r="G566" s="21"/>
      <c r="H566" s="21"/>
      <c r="I566" s="34"/>
      <c r="J566" s="34"/>
      <c r="K566" s="39">
        <f>VLOOKUP(A566,OPTIONS!A:C,3,FALSE)*G566</f>
        <v>0</v>
      </c>
      <c r="L566" s="39" t="str">
        <f t="shared" si="30"/>
        <v/>
      </c>
      <c r="M566" s="39" t="str">
        <f t="shared" si="31"/>
        <v>0</v>
      </c>
      <c r="N566" s="39" t="str">
        <f t="shared" si="32"/>
        <v xml:space="preserve"> ()</v>
      </c>
    </row>
    <row r="567" spans="1:14" x14ac:dyDescent="0.3">
      <c r="A567" s="34"/>
      <c r="B567" s="38"/>
      <c r="C567" s="34"/>
      <c r="D567" s="21"/>
      <c r="E567" s="21"/>
      <c r="G567" s="21"/>
      <c r="H567" s="21"/>
      <c r="I567" s="34"/>
      <c r="J567" s="34"/>
      <c r="K567" s="39">
        <f>VLOOKUP(A567,OPTIONS!A:C,3,FALSE)*G567</f>
        <v>0</v>
      </c>
      <c r="L567" s="39" t="str">
        <f t="shared" si="30"/>
        <v/>
      </c>
      <c r="M567" s="39" t="str">
        <f t="shared" si="31"/>
        <v>0</v>
      </c>
      <c r="N567" s="39" t="str">
        <f t="shared" si="32"/>
        <v xml:space="preserve"> ()</v>
      </c>
    </row>
    <row r="568" spans="1:14" x14ac:dyDescent="0.3">
      <c r="A568" s="34"/>
      <c r="B568" s="38"/>
      <c r="C568" s="34"/>
      <c r="D568" s="21"/>
      <c r="E568" s="21"/>
      <c r="G568" s="21"/>
      <c r="H568" s="21"/>
      <c r="I568" s="34"/>
      <c r="J568" s="34"/>
      <c r="K568" s="39">
        <f>VLOOKUP(A568,OPTIONS!A:C,3,FALSE)*G568</f>
        <v>0</v>
      </c>
      <c r="L568" s="39" t="str">
        <f t="shared" si="30"/>
        <v/>
      </c>
      <c r="M568" s="39" t="str">
        <f t="shared" si="31"/>
        <v>0</v>
      </c>
      <c r="N568" s="39" t="str">
        <f t="shared" si="32"/>
        <v xml:space="preserve"> ()</v>
      </c>
    </row>
    <row r="569" spans="1:14" x14ac:dyDescent="0.3">
      <c r="A569" s="34"/>
      <c r="B569" s="38"/>
      <c r="C569" s="34"/>
      <c r="D569" s="21"/>
      <c r="E569" s="21"/>
      <c r="G569" s="21"/>
      <c r="H569" s="21"/>
      <c r="I569" s="34"/>
      <c r="J569" s="34"/>
      <c r="K569" s="39">
        <f>VLOOKUP(A569,OPTIONS!A:C,3,FALSE)*G569</f>
        <v>0</v>
      </c>
      <c r="L569" s="39" t="str">
        <f t="shared" si="30"/>
        <v/>
      </c>
      <c r="M569" s="39" t="str">
        <f t="shared" si="31"/>
        <v>0</v>
      </c>
      <c r="N569" s="39" t="str">
        <f t="shared" si="32"/>
        <v xml:space="preserve"> ()</v>
      </c>
    </row>
    <row r="570" spans="1:14" x14ac:dyDescent="0.3">
      <c r="A570" s="34"/>
      <c r="B570" s="38"/>
      <c r="C570" s="34"/>
      <c r="D570" s="21"/>
      <c r="E570" s="21"/>
      <c r="G570" s="21"/>
      <c r="H570" s="21"/>
      <c r="I570" s="34"/>
      <c r="J570" s="34"/>
      <c r="K570" s="39">
        <f>VLOOKUP(A570,OPTIONS!A:C,3,FALSE)*G570</f>
        <v>0</v>
      </c>
      <c r="L570" s="39" t="str">
        <f t="shared" si="30"/>
        <v/>
      </c>
      <c r="M570" s="39" t="str">
        <f t="shared" si="31"/>
        <v>0</v>
      </c>
      <c r="N570" s="39" t="str">
        <f t="shared" si="32"/>
        <v xml:space="preserve"> ()</v>
      </c>
    </row>
    <row r="571" spans="1:14" x14ac:dyDescent="0.3">
      <c r="A571" s="34"/>
      <c r="B571" s="38"/>
      <c r="C571" s="34"/>
      <c r="D571" s="21"/>
      <c r="E571" s="21"/>
      <c r="G571" s="21"/>
      <c r="H571" s="21"/>
      <c r="I571" s="34"/>
      <c r="J571" s="34"/>
      <c r="K571" s="39">
        <f>VLOOKUP(A571,OPTIONS!A:C,3,FALSE)*G571</f>
        <v>0</v>
      </c>
      <c r="L571" s="39" t="str">
        <f t="shared" si="30"/>
        <v/>
      </c>
      <c r="M571" s="39" t="str">
        <f t="shared" si="31"/>
        <v>0</v>
      </c>
      <c r="N571" s="39" t="str">
        <f t="shared" si="32"/>
        <v xml:space="preserve"> ()</v>
      </c>
    </row>
    <row r="572" spans="1:14" x14ac:dyDescent="0.3">
      <c r="A572" s="34"/>
      <c r="B572" s="38"/>
      <c r="C572" s="34"/>
      <c r="D572" s="21"/>
      <c r="E572" s="21"/>
      <c r="G572" s="21"/>
      <c r="H572" s="21"/>
      <c r="I572" s="34"/>
      <c r="J572" s="34"/>
      <c r="K572" s="39">
        <f>VLOOKUP(A572,OPTIONS!A:C,3,FALSE)*G572</f>
        <v>0</v>
      </c>
      <c r="L572" s="39" t="str">
        <f t="shared" si="30"/>
        <v/>
      </c>
      <c r="M572" s="39" t="str">
        <f t="shared" si="31"/>
        <v>0</v>
      </c>
      <c r="N572" s="39" t="str">
        <f t="shared" si="32"/>
        <v xml:space="preserve"> ()</v>
      </c>
    </row>
    <row r="573" spans="1:14" x14ac:dyDescent="0.3">
      <c r="A573" s="34"/>
      <c r="B573" s="38"/>
      <c r="C573" s="34"/>
      <c r="D573" s="21"/>
      <c r="E573" s="21"/>
      <c r="G573" s="21"/>
      <c r="H573" s="21"/>
      <c r="I573" s="34"/>
      <c r="J573" s="34"/>
      <c r="K573" s="39">
        <f>VLOOKUP(A573,OPTIONS!A:C,3,FALSE)*G573</f>
        <v>0</v>
      </c>
      <c r="L573" s="39" t="str">
        <f t="shared" si="30"/>
        <v/>
      </c>
      <c r="M573" s="39" t="str">
        <f t="shared" si="31"/>
        <v>0</v>
      </c>
      <c r="N573" s="39" t="str">
        <f t="shared" si="32"/>
        <v xml:space="preserve"> ()</v>
      </c>
    </row>
    <row r="574" spans="1:14" x14ac:dyDescent="0.3">
      <c r="A574" s="34"/>
      <c r="B574" s="38"/>
      <c r="C574" s="34"/>
      <c r="D574" s="21"/>
      <c r="E574" s="21"/>
      <c r="G574" s="21"/>
      <c r="H574" s="21"/>
      <c r="I574" s="34"/>
      <c r="J574" s="34"/>
      <c r="K574" s="39">
        <f>VLOOKUP(A574,OPTIONS!A:C,3,FALSE)*G574</f>
        <v>0</v>
      </c>
      <c r="L574" s="39" t="str">
        <f t="shared" si="30"/>
        <v/>
      </c>
      <c r="M574" s="39" t="str">
        <f t="shared" si="31"/>
        <v>0</v>
      </c>
      <c r="N574" s="39" t="str">
        <f t="shared" si="32"/>
        <v xml:space="preserve"> ()</v>
      </c>
    </row>
    <row r="575" spans="1:14" x14ac:dyDescent="0.3">
      <c r="A575" s="34"/>
      <c r="B575" s="38"/>
      <c r="C575" s="34"/>
      <c r="D575" s="21"/>
      <c r="E575" s="21"/>
      <c r="G575" s="21"/>
      <c r="H575" s="21"/>
      <c r="I575" s="34"/>
      <c r="J575" s="34"/>
      <c r="K575" s="39">
        <f>VLOOKUP(A575,OPTIONS!A:C,3,FALSE)*G575</f>
        <v>0</v>
      </c>
      <c r="L575" s="39" t="str">
        <f t="shared" si="30"/>
        <v/>
      </c>
      <c r="M575" s="39" t="str">
        <f t="shared" si="31"/>
        <v>0</v>
      </c>
      <c r="N575" s="39" t="str">
        <f t="shared" si="32"/>
        <v xml:space="preserve"> ()</v>
      </c>
    </row>
    <row r="576" spans="1:14" x14ac:dyDescent="0.3">
      <c r="A576" s="34"/>
      <c r="B576" s="38"/>
      <c r="C576" s="34"/>
      <c r="D576" s="21"/>
      <c r="E576" s="21"/>
      <c r="G576" s="21"/>
      <c r="H576" s="21"/>
      <c r="I576" s="34"/>
      <c r="J576" s="34"/>
      <c r="K576" s="39">
        <f>VLOOKUP(A576,OPTIONS!A:C,3,FALSE)*G576</f>
        <v>0</v>
      </c>
      <c r="L576" s="39" t="str">
        <f t="shared" si="30"/>
        <v/>
      </c>
      <c r="M576" s="39" t="str">
        <f t="shared" si="31"/>
        <v>0</v>
      </c>
      <c r="N576" s="39" t="str">
        <f t="shared" si="32"/>
        <v xml:space="preserve"> ()</v>
      </c>
    </row>
    <row r="577" spans="1:14" x14ac:dyDescent="0.3">
      <c r="A577" s="34"/>
      <c r="B577" s="38"/>
      <c r="C577" s="34"/>
      <c r="D577" s="21"/>
      <c r="E577" s="21"/>
      <c r="G577" s="21"/>
      <c r="H577" s="21"/>
      <c r="I577" s="34"/>
      <c r="J577" s="34"/>
      <c r="K577" s="39">
        <f>VLOOKUP(A577,OPTIONS!A:C,3,FALSE)*G577</f>
        <v>0</v>
      </c>
      <c r="L577" s="39" t="str">
        <f t="shared" si="30"/>
        <v/>
      </c>
      <c r="M577" s="39" t="str">
        <f t="shared" si="31"/>
        <v>0</v>
      </c>
      <c r="N577" s="39" t="str">
        <f t="shared" si="32"/>
        <v xml:space="preserve"> ()</v>
      </c>
    </row>
    <row r="578" spans="1:14" x14ac:dyDescent="0.3">
      <c r="A578" s="34"/>
      <c r="B578" s="38"/>
      <c r="C578" s="34"/>
      <c r="D578" s="21"/>
      <c r="E578" s="21"/>
      <c r="G578" s="21"/>
      <c r="H578" s="21"/>
      <c r="I578" s="34"/>
      <c r="J578" s="34"/>
      <c r="K578" s="39">
        <f>VLOOKUP(A578,OPTIONS!A:C,3,FALSE)*G578</f>
        <v>0</v>
      </c>
      <c r="L578" s="39" t="str">
        <f t="shared" si="30"/>
        <v/>
      </c>
      <c r="M578" s="39" t="str">
        <f t="shared" si="31"/>
        <v>0</v>
      </c>
      <c r="N578" s="39" t="str">
        <f t="shared" si="32"/>
        <v xml:space="preserve"> ()</v>
      </c>
    </row>
    <row r="579" spans="1:14" x14ac:dyDescent="0.3">
      <c r="A579" s="34"/>
      <c r="B579" s="38"/>
      <c r="C579" s="34"/>
      <c r="D579" s="21"/>
      <c r="E579" s="21"/>
      <c r="G579" s="21"/>
      <c r="H579" s="21"/>
      <c r="I579" s="34"/>
      <c r="J579" s="34"/>
      <c r="K579" s="39">
        <f>VLOOKUP(A579,OPTIONS!A:C,3,FALSE)*G579</f>
        <v>0</v>
      </c>
      <c r="L579" s="39" t="str">
        <f t="shared" si="30"/>
        <v/>
      </c>
      <c r="M579" s="39" t="str">
        <f t="shared" si="31"/>
        <v>0</v>
      </c>
      <c r="N579" s="39" t="str">
        <f t="shared" si="32"/>
        <v xml:space="preserve"> ()</v>
      </c>
    </row>
    <row r="580" spans="1:14" x14ac:dyDescent="0.3">
      <c r="A580" s="34"/>
      <c r="B580" s="38"/>
      <c r="C580" s="34"/>
      <c r="D580" s="21"/>
      <c r="E580" s="21"/>
      <c r="G580" s="21"/>
      <c r="H580" s="21"/>
      <c r="I580" s="34"/>
      <c r="J580" s="34"/>
      <c r="K580" s="39">
        <f>VLOOKUP(A580,OPTIONS!A:C,3,FALSE)*G580</f>
        <v>0</v>
      </c>
      <c r="L580" s="39" t="str">
        <f t="shared" si="30"/>
        <v/>
      </c>
      <c r="M580" s="39" t="str">
        <f t="shared" si="31"/>
        <v>0</v>
      </c>
      <c r="N580" s="39" t="str">
        <f t="shared" si="32"/>
        <v xml:space="preserve"> ()</v>
      </c>
    </row>
    <row r="581" spans="1:14" x14ac:dyDescent="0.3">
      <c r="A581" s="34"/>
      <c r="B581" s="38"/>
      <c r="C581" s="34"/>
      <c r="D581" s="21"/>
      <c r="E581" s="21"/>
      <c r="G581" s="21"/>
      <c r="H581" s="21"/>
      <c r="I581" s="34"/>
      <c r="J581" s="34"/>
      <c r="K581" s="39">
        <f>VLOOKUP(A581,OPTIONS!A:C,3,FALSE)*G581</f>
        <v>0</v>
      </c>
      <c r="L581" s="39" t="str">
        <f t="shared" si="30"/>
        <v/>
      </c>
      <c r="M581" s="39" t="str">
        <f t="shared" si="31"/>
        <v>0</v>
      </c>
      <c r="N581" s="39" t="str">
        <f t="shared" si="32"/>
        <v xml:space="preserve"> ()</v>
      </c>
    </row>
    <row r="582" spans="1:14" x14ac:dyDescent="0.3">
      <c r="A582" s="34"/>
      <c r="B582" s="38"/>
      <c r="C582" s="34"/>
      <c r="D582" s="21"/>
      <c r="E582" s="21"/>
      <c r="G582" s="21"/>
      <c r="H582" s="21"/>
      <c r="I582" s="34"/>
      <c r="J582" s="34"/>
      <c r="K582" s="39">
        <f>VLOOKUP(A582,OPTIONS!A:C,3,FALSE)*G582</f>
        <v>0</v>
      </c>
      <c r="L582" s="39" t="str">
        <f t="shared" si="30"/>
        <v/>
      </c>
      <c r="M582" s="39" t="str">
        <f t="shared" si="31"/>
        <v>0</v>
      </c>
      <c r="N582" s="39" t="str">
        <f t="shared" si="32"/>
        <v xml:space="preserve"> ()</v>
      </c>
    </row>
    <row r="583" spans="1:14" x14ac:dyDescent="0.3">
      <c r="A583" s="34"/>
      <c r="B583" s="38"/>
      <c r="C583" s="34"/>
      <c r="D583" s="21"/>
      <c r="E583" s="21"/>
      <c r="G583" s="21"/>
      <c r="H583" s="21"/>
      <c r="I583" s="34"/>
      <c r="J583" s="34"/>
      <c r="K583" s="39">
        <f>VLOOKUP(A583,OPTIONS!A:C,3,FALSE)*G583</f>
        <v>0</v>
      </c>
      <c r="L583" s="39" t="str">
        <f t="shared" si="30"/>
        <v/>
      </c>
      <c r="M583" s="39" t="str">
        <f t="shared" si="31"/>
        <v>0</v>
      </c>
      <c r="N583" s="39" t="str">
        <f t="shared" si="32"/>
        <v xml:space="preserve"> ()</v>
      </c>
    </row>
    <row r="584" spans="1:14" x14ac:dyDescent="0.3">
      <c r="A584" s="34"/>
      <c r="B584" s="38"/>
      <c r="C584" s="34"/>
      <c r="D584" s="21"/>
      <c r="E584" s="21"/>
      <c r="G584" s="21"/>
      <c r="H584" s="21"/>
      <c r="I584" s="34"/>
      <c r="J584" s="34"/>
      <c r="K584" s="39">
        <f>VLOOKUP(A584,OPTIONS!A:C,3,FALSE)*G584</f>
        <v>0</v>
      </c>
      <c r="L584" s="39" t="str">
        <f t="shared" si="30"/>
        <v/>
      </c>
      <c r="M584" s="39" t="str">
        <f t="shared" si="31"/>
        <v>0</v>
      </c>
      <c r="N584" s="39" t="str">
        <f t="shared" si="32"/>
        <v xml:space="preserve"> ()</v>
      </c>
    </row>
    <row r="585" spans="1:14" x14ac:dyDescent="0.3">
      <c r="A585" s="34"/>
      <c r="B585" s="38"/>
      <c r="C585" s="34"/>
      <c r="D585" s="21"/>
      <c r="E585" s="21"/>
      <c r="G585" s="21"/>
      <c r="H585" s="21"/>
      <c r="I585" s="34"/>
      <c r="J585" s="34"/>
      <c r="K585" s="39">
        <f>VLOOKUP(A585,OPTIONS!A:C,3,FALSE)*G585</f>
        <v>0</v>
      </c>
      <c r="L585" s="39" t="str">
        <f t="shared" si="30"/>
        <v/>
      </c>
      <c r="M585" s="39" t="str">
        <f t="shared" si="31"/>
        <v>0</v>
      </c>
      <c r="N585" s="39" t="str">
        <f t="shared" si="32"/>
        <v xml:space="preserve"> ()</v>
      </c>
    </row>
    <row r="586" spans="1:14" x14ac:dyDescent="0.3">
      <c r="A586" s="34"/>
      <c r="B586" s="38"/>
      <c r="C586" s="34"/>
      <c r="D586" s="21"/>
      <c r="E586" s="21"/>
      <c r="G586" s="21"/>
      <c r="H586" s="21"/>
      <c r="I586" s="34"/>
      <c r="J586" s="34"/>
      <c r="K586" s="39">
        <f>VLOOKUP(A586,OPTIONS!A:C,3,FALSE)*G586</f>
        <v>0</v>
      </c>
      <c r="L586" s="39" t="str">
        <f t="shared" si="30"/>
        <v/>
      </c>
      <c r="M586" s="39" t="str">
        <f t="shared" si="31"/>
        <v>0</v>
      </c>
      <c r="N586" s="39" t="str">
        <f t="shared" si="32"/>
        <v xml:space="preserve"> ()</v>
      </c>
    </row>
    <row r="587" spans="1:14" x14ac:dyDescent="0.3">
      <c r="A587" s="34"/>
      <c r="B587" s="38"/>
      <c r="C587" s="34"/>
      <c r="D587" s="21"/>
      <c r="E587" s="21"/>
      <c r="G587" s="21"/>
      <c r="H587" s="21"/>
      <c r="I587" s="34"/>
      <c r="J587" s="34"/>
      <c r="K587" s="39">
        <f>VLOOKUP(A587,OPTIONS!A:C,3,FALSE)*G587</f>
        <v>0</v>
      </c>
      <c r="L587" s="39" t="str">
        <f t="shared" si="30"/>
        <v/>
      </c>
      <c r="M587" s="39" t="str">
        <f t="shared" si="31"/>
        <v>0</v>
      </c>
      <c r="N587" s="39" t="str">
        <f t="shared" si="32"/>
        <v xml:space="preserve"> ()</v>
      </c>
    </row>
    <row r="588" spans="1:14" x14ac:dyDescent="0.3">
      <c r="A588" s="34"/>
      <c r="B588" s="38"/>
      <c r="C588" s="34"/>
      <c r="D588" s="21"/>
      <c r="E588" s="21"/>
      <c r="G588" s="21"/>
      <c r="H588" s="21"/>
      <c r="I588" s="34"/>
      <c r="J588" s="34"/>
      <c r="K588" s="39">
        <f>VLOOKUP(A588,OPTIONS!A:C,3,FALSE)*G588</f>
        <v>0</v>
      </c>
      <c r="L588" s="39" t="str">
        <f t="shared" si="30"/>
        <v/>
      </c>
      <c r="M588" s="39" t="str">
        <f t="shared" si="31"/>
        <v>0</v>
      </c>
      <c r="N588" s="39" t="str">
        <f t="shared" si="32"/>
        <v xml:space="preserve"> ()</v>
      </c>
    </row>
  </sheetData>
  <autoFilter ref="A1:N588" xr:uid="{00000000-0009-0000-0000-000003000000}">
    <sortState xmlns:xlrd2="http://schemas.microsoft.com/office/spreadsheetml/2017/richdata2" ref="A2:N588">
      <sortCondition ref="B1:B588"/>
    </sortState>
  </autoFilter>
  <phoneticPr fontId="10" type="noConversion"/>
  <dataValidations count="1">
    <dataValidation type="list" showInputMessage="1" showErrorMessage="1" sqref="F2:F1048576" xr:uid="{00000000-0002-0000-0300-000000000000}">
      <formula1>SectionÉpicerie</formula1>
    </dataValidation>
  </dataValidations>
  <pageMargins left="0.70000000000000007" right="0.70000000000000007" top="0.75000000000000011" bottom="0.75000000000000011" header="0.30000000000000004" footer="0.30000000000000004"/>
  <pageSetup scale="10" orientation="landscape"/>
  <colBreaks count="1" manualBreakCount="1">
    <brk id="15" max="1048575" man="1"/>
  </colBreaks>
  <extLst>
    <ext xmlns:mx="http://schemas.microsoft.com/office/mac/excel/2008/main" uri="{64002731-A6B0-56B0-2670-7721B7C09600}">
      <mx:PLV Mode="0" OnePage="0" WScale="18"/>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L10"/>
  <sheetViews>
    <sheetView zoomScaleNormal="100" workbookViewId="0">
      <selection activeCell="F9" sqref="F9"/>
    </sheetView>
  </sheetViews>
  <sheetFormatPr defaultColWidth="8.77734375" defaultRowHeight="14.4" x14ac:dyDescent="0.3"/>
  <cols>
    <col min="9" max="9" width="44.44140625" customWidth="1"/>
    <col min="10" max="10" width="16.77734375" customWidth="1"/>
  </cols>
  <sheetData>
    <row r="1" spans="1:12" ht="21" customHeight="1" x14ac:dyDescent="0.3">
      <c r="A1" s="35" t="s">
        <v>345</v>
      </c>
      <c r="J1" s="44"/>
      <c r="K1" s="44"/>
      <c r="L1" s="44"/>
    </row>
    <row r="2" spans="1:12" ht="15" customHeight="1" x14ac:dyDescent="0.3">
      <c r="A2" t="s">
        <v>492</v>
      </c>
      <c r="J2" s="44"/>
      <c r="K2" s="44"/>
      <c r="L2" s="44"/>
    </row>
    <row r="3" spans="1:12" x14ac:dyDescent="0.3">
      <c r="A3" t="s">
        <v>346</v>
      </c>
      <c r="J3" s="44"/>
      <c r="K3" s="44"/>
      <c r="L3" s="44"/>
    </row>
    <row r="4" spans="1:12" x14ac:dyDescent="0.3">
      <c r="A4" t="s">
        <v>347</v>
      </c>
      <c r="J4" s="44"/>
      <c r="K4" s="44"/>
      <c r="L4" s="44"/>
    </row>
    <row r="5" spans="1:12" x14ac:dyDescent="0.3">
      <c r="A5" t="s">
        <v>348</v>
      </c>
      <c r="J5" s="44"/>
      <c r="K5" s="44"/>
      <c r="L5" s="44"/>
    </row>
    <row r="6" spans="1:12" x14ac:dyDescent="0.3">
      <c r="A6" t="s">
        <v>349</v>
      </c>
      <c r="K6" s="44"/>
      <c r="L6" s="44"/>
    </row>
    <row r="7" spans="1:12" x14ac:dyDescent="0.3">
      <c r="A7" t="s">
        <v>350</v>
      </c>
      <c r="K7" s="44"/>
      <c r="L7" s="44"/>
    </row>
    <row r="8" spans="1:12" x14ac:dyDescent="0.3">
      <c r="K8" s="44"/>
      <c r="L8" s="44"/>
    </row>
    <row r="9" spans="1:12" x14ac:dyDescent="0.3">
      <c r="K9" s="44"/>
      <c r="L9" s="44"/>
    </row>
    <row r="10" spans="1:12" x14ac:dyDescent="0.3">
      <c r="K10" s="44"/>
      <c r="L10" s="44"/>
    </row>
  </sheetData>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pageSetUpPr fitToPage="1"/>
  </sheetPr>
  <dimension ref="A1:E8"/>
  <sheetViews>
    <sheetView showGridLines="0" topLeftCell="A3" workbookViewId="0">
      <selection activeCell="C4" sqref="C4"/>
    </sheetView>
  </sheetViews>
  <sheetFormatPr defaultColWidth="11.77734375" defaultRowHeight="14.4" x14ac:dyDescent="0.3"/>
  <cols>
    <col min="1" max="1" width="4.77734375" style="4" customWidth="1"/>
    <col min="2" max="2" width="26.21875" bestFit="1" customWidth="1"/>
    <col min="3" max="3" width="27.77734375" bestFit="1" customWidth="1"/>
    <col min="4" max="4" width="28.21875" bestFit="1" customWidth="1"/>
    <col min="5" max="5" width="27.44140625" bestFit="1" customWidth="1"/>
  </cols>
  <sheetData>
    <row r="1" spans="1:5" ht="26.25" customHeight="1" thickBot="1" x14ac:dyDescent="0.35">
      <c r="B1" s="41" t="s">
        <v>358</v>
      </c>
      <c r="C1" s="41" t="s">
        <v>359</v>
      </c>
      <c r="D1" s="43" t="s">
        <v>360</v>
      </c>
      <c r="E1" s="42" t="s">
        <v>361</v>
      </c>
    </row>
    <row r="2" spans="1:5" ht="77.25" customHeight="1" x14ac:dyDescent="0.3">
      <c r="A2" s="5" t="s">
        <v>351</v>
      </c>
      <c r="B2" s="8"/>
      <c r="C2" s="9" t="s">
        <v>518</v>
      </c>
      <c r="D2" s="9" t="s">
        <v>513</v>
      </c>
      <c r="E2" s="10"/>
    </row>
    <row r="3" spans="1:5" ht="77.25" customHeight="1" x14ac:dyDescent="0.3">
      <c r="A3" s="6" t="s">
        <v>352</v>
      </c>
      <c r="B3" s="11"/>
      <c r="C3" s="7" t="s">
        <v>512</v>
      </c>
      <c r="D3" s="7" t="s">
        <v>517</v>
      </c>
      <c r="E3" s="12"/>
    </row>
    <row r="4" spans="1:5" ht="77.25" customHeight="1" x14ac:dyDescent="0.3">
      <c r="A4" s="6" t="s">
        <v>353</v>
      </c>
      <c r="B4" s="11"/>
      <c r="C4" s="7" t="s">
        <v>519</v>
      </c>
      <c r="D4" s="7" t="s">
        <v>514</v>
      </c>
      <c r="E4" s="12"/>
    </row>
    <row r="5" spans="1:5" ht="77.25" customHeight="1" x14ac:dyDescent="0.3">
      <c r="A5" s="6" t="s">
        <v>354</v>
      </c>
      <c r="B5" s="11"/>
      <c r="C5" s="7" t="s">
        <v>516</v>
      </c>
      <c r="D5" s="7"/>
      <c r="E5" s="14"/>
    </row>
    <row r="6" spans="1:5" ht="77.25" customHeight="1" x14ac:dyDescent="0.3">
      <c r="A6" s="6" t="s">
        <v>355</v>
      </c>
      <c r="B6" s="13" t="s">
        <v>511</v>
      </c>
      <c r="C6" s="7" t="s">
        <v>515</v>
      </c>
      <c r="D6" s="7"/>
      <c r="E6" s="14"/>
    </row>
    <row r="7" spans="1:5" x14ac:dyDescent="0.3">
      <c r="B7" s="2"/>
      <c r="C7" s="2"/>
      <c r="D7" s="2"/>
      <c r="E7" s="2"/>
    </row>
    <row r="8" spans="1:5" x14ac:dyDescent="0.3">
      <c r="B8" s="32"/>
      <c r="C8" s="2"/>
      <c r="D8" s="2"/>
      <c r="E8" s="2"/>
    </row>
  </sheetData>
  <pageMargins left="0.25" right="0.25" top="0.75" bottom="0.75" header="0.3" footer="0.3"/>
  <pageSetup scale="75" orientation="landscape"/>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39997558519241921"/>
    <pageSetUpPr fitToPage="1"/>
  </sheetPr>
  <dimension ref="A1:D69"/>
  <sheetViews>
    <sheetView showGridLines="0" workbookViewId="0">
      <selection activeCell="C2" sqref="C2"/>
    </sheetView>
  </sheetViews>
  <sheetFormatPr defaultColWidth="32.44140625" defaultRowHeight="14.4" x14ac:dyDescent="0.3"/>
  <cols>
    <col min="1" max="1" width="29.21875" bestFit="1" customWidth="1"/>
    <col min="4" max="4" width="33.44140625" bestFit="1" customWidth="1"/>
    <col min="5" max="5" width="29.21875" bestFit="1" customWidth="1"/>
  </cols>
  <sheetData>
    <row r="1" spans="1:4" x14ac:dyDescent="0.3">
      <c r="A1" s="1" t="s">
        <v>1</v>
      </c>
      <c r="B1" s="1" t="s">
        <v>281</v>
      </c>
      <c r="C1" s="1" t="s">
        <v>8</v>
      </c>
      <c r="D1" s="1" t="s">
        <v>285</v>
      </c>
    </row>
    <row r="2" spans="1:4" x14ac:dyDescent="0.3">
      <c r="A2" t="s">
        <v>497</v>
      </c>
      <c r="B2" t="s">
        <v>341</v>
      </c>
      <c r="C2" t="s">
        <v>344</v>
      </c>
      <c r="D2" t="s">
        <v>501</v>
      </c>
    </row>
    <row r="3" spans="1:4" x14ac:dyDescent="0.3">
      <c r="C3" t="s">
        <v>343</v>
      </c>
      <c r="D3" t="s">
        <v>502</v>
      </c>
    </row>
    <row r="4" spans="1:4" x14ac:dyDescent="0.3">
      <c r="C4" t="s">
        <v>258</v>
      </c>
      <c r="D4" t="s">
        <v>503</v>
      </c>
    </row>
    <row r="5" spans="1:4" x14ac:dyDescent="0.3">
      <c r="C5" t="s">
        <v>201</v>
      </c>
      <c r="D5" t="s">
        <v>504</v>
      </c>
    </row>
    <row r="6" spans="1:4" x14ac:dyDescent="0.3">
      <c r="B6" t="s">
        <v>500</v>
      </c>
      <c r="C6" t="s">
        <v>500</v>
      </c>
      <c r="D6" t="s">
        <v>505</v>
      </c>
    </row>
    <row r="7" spans="1:4" x14ac:dyDescent="0.3">
      <c r="A7" s="40">
        <v>45657</v>
      </c>
      <c r="B7" t="s">
        <v>67</v>
      </c>
      <c r="C7" t="s">
        <v>374</v>
      </c>
      <c r="D7" t="s">
        <v>520</v>
      </c>
    </row>
    <row r="8" spans="1:4" x14ac:dyDescent="0.3">
      <c r="D8" t="s">
        <v>521</v>
      </c>
    </row>
    <row r="9" spans="1:4" x14ac:dyDescent="0.3">
      <c r="D9" t="s">
        <v>522</v>
      </c>
    </row>
    <row r="10" spans="1:4" x14ac:dyDescent="0.3">
      <c r="D10" t="s">
        <v>523</v>
      </c>
    </row>
    <row r="11" spans="1:4" x14ac:dyDescent="0.3">
      <c r="C11" t="s">
        <v>226</v>
      </c>
      <c r="D11" t="s">
        <v>524</v>
      </c>
    </row>
    <row r="12" spans="1:4" x14ac:dyDescent="0.3">
      <c r="C12" t="s">
        <v>152</v>
      </c>
      <c r="D12" t="s">
        <v>566</v>
      </c>
    </row>
    <row r="13" spans="1:4" x14ac:dyDescent="0.3">
      <c r="B13" t="s">
        <v>49</v>
      </c>
      <c r="C13" t="s">
        <v>458</v>
      </c>
      <c r="D13" t="s">
        <v>560</v>
      </c>
    </row>
    <row r="14" spans="1:4" x14ac:dyDescent="0.3">
      <c r="C14" t="s">
        <v>369</v>
      </c>
      <c r="D14" t="s">
        <v>561</v>
      </c>
    </row>
    <row r="15" spans="1:4" x14ac:dyDescent="0.3">
      <c r="C15" t="s">
        <v>87</v>
      </c>
      <c r="D15" t="s">
        <v>562</v>
      </c>
    </row>
    <row r="16" spans="1:4" x14ac:dyDescent="0.3">
      <c r="D16" t="s">
        <v>563</v>
      </c>
    </row>
    <row r="17" spans="2:4" x14ac:dyDescent="0.3">
      <c r="D17" t="s">
        <v>564</v>
      </c>
    </row>
    <row r="18" spans="2:4" x14ac:dyDescent="0.3">
      <c r="D18" t="s">
        <v>565</v>
      </c>
    </row>
    <row r="19" spans="2:4" x14ac:dyDescent="0.3">
      <c r="B19" t="s">
        <v>41</v>
      </c>
      <c r="C19" t="s">
        <v>310</v>
      </c>
      <c r="D19" t="s">
        <v>536</v>
      </c>
    </row>
    <row r="20" spans="2:4" x14ac:dyDescent="0.3">
      <c r="C20" t="s">
        <v>465</v>
      </c>
      <c r="D20" t="s">
        <v>537</v>
      </c>
    </row>
    <row r="21" spans="2:4" x14ac:dyDescent="0.3">
      <c r="D21" t="s">
        <v>538</v>
      </c>
    </row>
    <row r="22" spans="2:4" x14ac:dyDescent="0.3">
      <c r="D22" t="s">
        <v>539</v>
      </c>
    </row>
    <row r="23" spans="2:4" x14ac:dyDescent="0.3">
      <c r="D23" t="s">
        <v>540</v>
      </c>
    </row>
    <row r="24" spans="2:4" x14ac:dyDescent="0.3">
      <c r="D24" t="s">
        <v>541</v>
      </c>
    </row>
    <row r="25" spans="2:4" x14ac:dyDescent="0.3">
      <c r="D25" t="s">
        <v>542</v>
      </c>
    </row>
    <row r="26" spans="2:4" x14ac:dyDescent="0.3">
      <c r="D26" t="s">
        <v>543</v>
      </c>
    </row>
    <row r="27" spans="2:4" x14ac:dyDescent="0.3">
      <c r="C27" t="s">
        <v>163</v>
      </c>
      <c r="D27" t="s">
        <v>549</v>
      </c>
    </row>
    <row r="28" spans="2:4" x14ac:dyDescent="0.3">
      <c r="B28" t="s">
        <v>16</v>
      </c>
      <c r="C28" t="s">
        <v>226</v>
      </c>
      <c r="D28" t="s">
        <v>545</v>
      </c>
    </row>
    <row r="29" spans="2:4" x14ac:dyDescent="0.3">
      <c r="D29" t="s">
        <v>546</v>
      </c>
    </row>
    <row r="30" spans="2:4" x14ac:dyDescent="0.3">
      <c r="D30" t="s">
        <v>547</v>
      </c>
    </row>
    <row r="31" spans="2:4" x14ac:dyDescent="0.3">
      <c r="D31" t="s">
        <v>548</v>
      </c>
    </row>
    <row r="32" spans="2:4" x14ac:dyDescent="0.3">
      <c r="C32" t="s">
        <v>130</v>
      </c>
      <c r="D32" t="s">
        <v>550</v>
      </c>
    </row>
    <row r="33" spans="1:4" x14ac:dyDescent="0.3">
      <c r="D33" t="s">
        <v>551</v>
      </c>
    </row>
    <row r="34" spans="1:4" x14ac:dyDescent="0.3">
      <c r="D34" t="s">
        <v>552</v>
      </c>
    </row>
    <row r="35" spans="1:4" x14ac:dyDescent="0.3">
      <c r="D35" t="s">
        <v>553</v>
      </c>
    </row>
    <row r="36" spans="1:4" x14ac:dyDescent="0.3">
      <c r="D36" t="s">
        <v>554</v>
      </c>
    </row>
    <row r="37" spans="1:4" x14ac:dyDescent="0.3">
      <c r="D37" t="s">
        <v>555</v>
      </c>
    </row>
    <row r="38" spans="1:4" x14ac:dyDescent="0.3">
      <c r="D38" t="s">
        <v>556</v>
      </c>
    </row>
    <row r="39" spans="1:4" x14ac:dyDescent="0.3">
      <c r="D39" t="s">
        <v>557</v>
      </c>
    </row>
    <row r="40" spans="1:4" x14ac:dyDescent="0.3">
      <c r="D40" t="s">
        <v>558</v>
      </c>
    </row>
    <row r="41" spans="1:4" x14ac:dyDescent="0.3">
      <c r="D41" t="s">
        <v>559</v>
      </c>
    </row>
    <row r="42" spans="1:4" x14ac:dyDescent="0.3">
      <c r="C42" t="s">
        <v>448</v>
      </c>
      <c r="D42" t="s">
        <v>567</v>
      </c>
    </row>
    <row r="43" spans="1:4" x14ac:dyDescent="0.3">
      <c r="C43" t="s">
        <v>218</v>
      </c>
      <c r="D43" t="s">
        <v>568</v>
      </c>
    </row>
    <row r="44" spans="1:4" x14ac:dyDescent="0.3">
      <c r="D44" t="s">
        <v>569</v>
      </c>
    </row>
    <row r="45" spans="1:4" x14ac:dyDescent="0.3">
      <c r="D45" t="s">
        <v>570</v>
      </c>
    </row>
    <row r="46" spans="1:4" x14ac:dyDescent="0.3">
      <c r="A46" s="40">
        <v>45656</v>
      </c>
      <c r="B46" t="s">
        <v>49</v>
      </c>
      <c r="C46" t="s">
        <v>186</v>
      </c>
      <c r="D46" t="s">
        <v>525</v>
      </c>
    </row>
    <row r="47" spans="1:4" x14ac:dyDescent="0.3">
      <c r="D47" t="s">
        <v>526</v>
      </c>
    </row>
    <row r="48" spans="1:4" x14ac:dyDescent="0.3">
      <c r="D48" t="s">
        <v>527</v>
      </c>
    </row>
    <row r="49" spans="4:4" x14ac:dyDescent="0.3">
      <c r="D49" t="s">
        <v>528</v>
      </c>
    </row>
    <row r="50" spans="4:4" x14ac:dyDescent="0.3">
      <c r="D50" t="s">
        <v>529</v>
      </c>
    </row>
    <row r="51" spans="4:4" x14ac:dyDescent="0.3">
      <c r="D51" t="s">
        <v>530</v>
      </c>
    </row>
    <row r="52" spans="4:4" x14ac:dyDescent="0.3">
      <c r="D52" t="s">
        <v>531</v>
      </c>
    </row>
    <row r="53" spans="4:4" x14ac:dyDescent="0.3">
      <c r="D53" t="s">
        <v>532</v>
      </c>
    </row>
    <row r="54" spans="4:4" x14ac:dyDescent="0.3">
      <c r="D54" t="s">
        <v>533</v>
      </c>
    </row>
    <row r="55" spans="4:4" x14ac:dyDescent="0.3">
      <c r="D55" t="s">
        <v>534</v>
      </c>
    </row>
    <row r="56" spans="4:4" x14ac:dyDescent="0.3">
      <c r="D56" t="s">
        <v>535</v>
      </c>
    </row>
    <row r="69" spans="1:1" x14ac:dyDescent="0.3">
      <c r="A69" s="40"/>
    </row>
  </sheetData>
  <pageMargins left="0.25" right="0.25" top="0.75" bottom="0.75" header="0.3" footer="0.3"/>
  <pageSetup fitToHeight="0" orientation="landscape"/>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39997558519241921"/>
  </sheetPr>
  <dimension ref="A1:G59"/>
  <sheetViews>
    <sheetView tabSelected="1" workbookViewId="0">
      <selection activeCell="B23" sqref="B23"/>
    </sheetView>
  </sheetViews>
  <sheetFormatPr defaultRowHeight="14.4" x14ac:dyDescent="0.3"/>
  <cols>
    <col min="1" max="1" width="25.44140625" bestFit="1" customWidth="1"/>
    <col min="2" max="2" width="33.44140625" bestFit="1" customWidth="1"/>
    <col min="6" max="6" width="25.44140625" bestFit="1" customWidth="1"/>
    <col min="7" max="7" width="33.44140625" bestFit="1" customWidth="1"/>
  </cols>
  <sheetData>
    <row r="1" spans="1:7" x14ac:dyDescent="0.3">
      <c r="A1" s="1" t="s">
        <v>283</v>
      </c>
      <c r="B1" t="s">
        <v>356</v>
      </c>
      <c r="F1" s="1" t="s">
        <v>283</v>
      </c>
      <c r="G1" t="s">
        <v>356</v>
      </c>
    </row>
    <row r="2" spans="1:7" x14ac:dyDescent="0.3">
      <c r="A2" s="1" t="s">
        <v>282</v>
      </c>
      <c r="B2" t="s">
        <v>356</v>
      </c>
      <c r="F2" s="1" t="s">
        <v>282</v>
      </c>
      <c r="G2" t="s">
        <v>356</v>
      </c>
    </row>
    <row r="4" spans="1:7" x14ac:dyDescent="0.3">
      <c r="A4" s="1" t="s">
        <v>10</v>
      </c>
      <c r="B4" s="1" t="s">
        <v>285</v>
      </c>
      <c r="F4" s="1" t="s">
        <v>10</v>
      </c>
      <c r="G4" s="1" t="s">
        <v>285</v>
      </c>
    </row>
    <row r="5" spans="1:7" x14ac:dyDescent="0.3">
      <c r="A5" t="s">
        <v>24</v>
      </c>
      <c r="B5" t="s">
        <v>501</v>
      </c>
      <c r="F5" t="s">
        <v>24</v>
      </c>
      <c r="G5" t="s">
        <v>501</v>
      </c>
    </row>
    <row r="6" spans="1:7" x14ac:dyDescent="0.3">
      <c r="B6" t="s">
        <v>502</v>
      </c>
      <c r="G6" t="s">
        <v>502</v>
      </c>
    </row>
    <row r="7" spans="1:7" x14ac:dyDescent="0.3">
      <c r="B7" t="s">
        <v>503</v>
      </c>
      <c r="G7" t="s">
        <v>503</v>
      </c>
    </row>
    <row r="8" spans="1:7" x14ac:dyDescent="0.3">
      <c r="B8" t="s">
        <v>504</v>
      </c>
      <c r="G8" t="s">
        <v>504</v>
      </c>
    </row>
    <row r="9" spans="1:7" x14ac:dyDescent="0.3">
      <c r="B9" t="s">
        <v>524</v>
      </c>
      <c r="G9" t="s">
        <v>524</v>
      </c>
    </row>
    <row r="10" spans="1:7" x14ac:dyDescent="0.3">
      <c r="B10" t="s">
        <v>527</v>
      </c>
      <c r="G10" t="s">
        <v>527</v>
      </c>
    </row>
    <row r="11" spans="1:7" x14ac:dyDescent="0.3">
      <c r="B11" t="s">
        <v>528</v>
      </c>
      <c r="G11" t="s">
        <v>528</v>
      </c>
    </row>
    <row r="12" spans="1:7" x14ac:dyDescent="0.3">
      <c r="B12" t="s">
        <v>538</v>
      </c>
      <c r="G12" t="s">
        <v>538</v>
      </c>
    </row>
    <row r="13" spans="1:7" x14ac:dyDescent="0.3">
      <c r="B13" t="s">
        <v>539</v>
      </c>
      <c r="G13" t="s">
        <v>539</v>
      </c>
    </row>
    <row r="14" spans="1:7" x14ac:dyDescent="0.3">
      <c r="B14" t="s">
        <v>543</v>
      </c>
      <c r="G14" t="s">
        <v>543</v>
      </c>
    </row>
    <row r="15" spans="1:7" x14ac:dyDescent="0.3">
      <c r="B15" t="s">
        <v>545</v>
      </c>
      <c r="G15" t="s">
        <v>545</v>
      </c>
    </row>
    <row r="16" spans="1:7" x14ac:dyDescent="0.3">
      <c r="B16" t="s">
        <v>546</v>
      </c>
      <c r="G16" t="s">
        <v>546</v>
      </c>
    </row>
    <row r="17" spans="1:7" x14ac:dyDescent="0.3">
      <c r="B17" t="s">
        <v>547</v>
      </c>
      <c r="G17" t="s">
        <v>547</v>
      </c>
    </row>
    <row r="18" spans="1:7" x14ac:dyDescent="0.3">
      <c r="B18" t="s">
        <v>548</v>
      </c>
      <c r="G18" t="s">
        <v>548</v>
      </c>
    </row>
    <row r="19" spans="1:7" x14ac:dyDescent="0.3">
      <c r="B19" t="s">
        <v>550</v>
      </c>
      <c r="G19" t="s">
        <v>550</v>
      </c>
    </row>
    <row r="20" spans="1:7" x14ac:dyDescent="0.3">
      <c r="B20" t="s">
        <v>551</v>
      </c>
      <c r="G20" t="s">
        <v>551</v>
      </c>
    </row>
    <row r="21" spans="1:7" x14ac:dyDescent="0.3">
      <c r="B21" t="s">
        <v>552</v>
      </c>
      <c r="G21" t="s">
        <v>552</v>
      </c>
    </row>
    <row r="22" spans="1:7" x14ac:dyDescent="0.3">
      <c r="B22" t="s">
        <v>564</v>
      </c>
      <c r="G22" t="s">
        <v>564</v>
      </c>
    </row>
    <row r="23" spans="1:7" x14ac:dyDescent="0.3">
      <c r="B23" t="s">
        <v>566</v>
      </c>
      <c r="G23" t="s">
        <v>566</v>
      </c>
    </row>
    <row r="24" spans="1:7" x14ac:dyDescent="0.3">
      <c r="B24" t="s">
        <v>567</v>
      </c>
      <c r="G24" t="s">
        <v>567</v>
      </c>
    </row>
    <row r="25" spans="1:7" x14ac:dyDescent="0.3">
      <c r="B25" t="s">
        <v>570</v>
      </c>
      <c r="G25" t="s">
        <v>570</v>
      </c>
    </row>
    <row r="26" spans="1:7" x14ac:dyDescent="0.3">
      <c r="A26" t="s">
        <v>500</v>
      </c>
      <c r="B26" t="s">
        <v>505</v>
      </c>
      <c r="F26" t="s">
        <v>500</v>
      </c>
      <c r="G26" t="s">
        <v>505</v>
      </c>
    </row>
    <row r="27" spans="1:7" x14ac:dyDescent="0.3">
      <c r="A27" t="s">
        <v>19</v>
      </c>
      <c r="B27" t="s">
        <v>525</v>
      </c>
      <c r="F27" t="s">
        <v>19</v>
      </c>
      <c r="G27" t="s">
        <v>525</v>
      </c>
    </row>
    <row r="28" spans="1:7" x14ac:dyDescent="0.3">
      <c r="B28" t="s">
        <v>537</v>
      </c>
      <c r="G28" t="s">
        <v>537</v>
      </c>
    </row>
    <row r="29" spans="1:7" x14ac:dyDescent="0.3">
      <c r="B29" t="s">
        <v>540</v>
      </c>
      <c r="G29" t="s">
        <v>540</v>
      </c>
    </row>
    <row r="30" spans="1:7" x14ac:dyDescent="0.3">
      <c r="B30" t="s">
        <v>549</v>
      </c>
      <c r="G30" t="s">
        <v>549</v>
      </c>
    </row>
    <row r="31" spans="1:7" x14ac:dyDescent="0.3">
      <c r="B31" t="s">
        <v>560</v>
      </c>
      <c r="G31" t="s">
        <v>560</v>
      </c>
    </row>
    <row r="32" spans="1:7" x14ac:dyDescent="0.3">
      <c r="A32" t="s">
        <v>26</v>
      </c>
      <c r="B32" t="s">
        <v>529</v>
      </c>
      <c r="F32" t="s">
        <v>26</v>
      </c>
      <c r="G32" t="s">
        <v>529</v>
      </c>
    </row>
    <row r="33" spans="2:7" x14ac:dyDescent="0.3">
      <c r="B33" t="s">
        <v>530</v>
      </c>
      <c r="G33" t="s">
        <v>530</v>
      </c>
    </row>
    <row r="34" spans="2:7" x14ac:dyDescent="0.3">
      <c r="B34" t="s">
        <v>531</v>
      </c>
      <c r="G34" t="s">
        <v>531</v>
      </c>
    </row>
    <row r="35" spans="2:7" x14ac:dyDescent="0.3">
      <c r="B35" t="s">
        <v>533</v>
      </c>
      <c r="G35" t="s">
        <v>533</v>
      </c>
    </row>
    <row r="36" spans="2:7" x14ac:dyDescent="0.3">
      <c r="B36" t="s">
        <v>534</v>
      </c>
      <c r="G36" t="s">
        <v>534</v>
      </c>
    </row>
    <row r="37" spans="2:7" x14ac:dyDescent="0.3">
      <c r="B37" t="s">
        <v>535</v>
      </c>
      <c r="G37" t="s">
        <v>535</v>
      </c>
    </row>
    <row r="38" spans="2:7" x14ac:dyDescent="0.3">
      <c r="B38" t="s">
        <v>541</v>
      </c>
      <c r="G38" t="s">
        <v>541</v>
      </c>
    </row>
    <row r="39" spans="2:7" x14ac:dyDescent="0.3">
      <c r="B39" t="s">
        <v>542</v>
      </c>
      <c r="G39" t="s">
        <v>542</v>
      </c>
    </row>
    <row r="40" spans="2:7" x14ac:dyDescent="0.3">
      <c r="B40" t="s">
        <v>556</v>
      </c>
      <c r="G40" t="s">
        <v>556</v>
      </c>
    </row>
    <row r="41" spans="2:7" x14ac:dyDescent="0.3">
      <c r="B41" t="s">
        <v>557</v>
      </c>
      <c r="G41" t="s">
        <v>557</v>
      </c>
    </row>
    <row r="42" spans="2:7" x14ac:dyDescent="0.3">
      <c r="B42" t="s">
        <v>558</v>
      </c>
      <c r="G42" t="s">
        <v>558</v>
      </c>
    </row>
    <row r="43" spans="2:7" x14ac:dyDescent="0.3">
      <c r="B43" t="s">
        <v>559</v>
      </c>
      <c r="G43" t="s">
        <v>559</v>
      </c>
    </row>
    <row r="44" spans="2:7" x14ac:dyDescent="0.3">
      <c r="B44" t="s">
        <v>561</v>
      </c>
      <c r="G44" t="s">
        <v>561</v>
      </c>
    </row>
    <row r="45" spans="2:7" x14ac:dyDescent="0.3">
      <c r="B45" t="s">
        <v>562</v>
      </c>
      <c r="G45" t="s">
        <v>562</v>
      </c>
    </row>
    <row r="46" spans="2:7" x14ac:dyDescent="0.3">
      <c r="B46" t="s">
        <v>563</v>
      </c>
      <c r="G46" t="s">
        <v>563</v>
      </c>
    </row>
    <row r="47" spans="2:7" x14ac:dyDescent="0.3">
      <c r="B47" t="s">
        <v>568</v>
      </c>
      <c r="G47" t="s">
        <v>568</v>
      </c>
    </row>
    <row r="48" spans="2:7" x14ac:dyDescent="0.3">
      <c r="B48" t="s">
        <v>569</v>
      </c>
      <c r="G48" t="s">
        <v>569</v>
      </c>
    </row>
    <row r="49" spans="1:7" x14ac:dyDescent="0.3">
      <c r="A49" t="s">
        <v>21</v>
      </c>
      <c r="B49" t="s">
        <v>520</v>
      </c>
      <c r="F49" t="s">
        <v>21</v>
      </c>
      <c r="G49" t="s">
        <v>520</v>
      </c>
    </row>
    <row r="50" spans="1:7" x14ac:dyDescent="0.3">
      <c r="B50" t="s">
        <v>521</v>
      </c>
      <c r="G50" t="s">
        <v>521</v>
      </c>
    </row>
    <row r="51" spans="1:7" x14ac:dyDescent="0.3">
      <c r="B51" t="s">
        <v>522</v>
      </c>
      <c r="G51" t="s">
        <v>522</v>
      </c>
    </row>
    <row r="52" spans="1:7" x14ac:dyDescent="0.3">
      <c r="B52" t="s">
        <v>523</v>
      </c>
      <c r="G52" t="s">
        <v>523</v>
      </c>
    </row>
    <row r="53" spans="1:7" x14ac:dyDescent="0.3">
      <c r="B53" t="s">
        <v>526</v>
      </c>
      <c r="G53" t="s">
        <v>526</v>
      </c>
    </row>
    <row r="54" spans="1:7" x14ac:dyDescent="0.3">
      <c r="B54" t="s">
        <v>565</v>
      </c>
      <c r="G54" t="s">
        <v>565</v>
      </c>
    </row>
    <row r="55" spans="1:7" x14ac:dyDescent="0.3">
      <c r="A55" t="s">
        <v>14</v>
      </c>
      <c r="B55" t="s">
        <v>532</v>
      </c>
      <c r="F55" t="s">
        <v>14</v>
      </c>
      <c r="G55" t="s">
        <v>532</v>
      </c>
    </row>
    <row r="56" spans="1:7" x14ac:dyDescent="0.3">
      <c r="B56" t="s">
        <v>536</v>
      </c>
      <c r="G56" t="s">
        <v>536</v>
      </c>
    </row>
    <row r="57" spans="1:7" x14ac:dyDescent="0.3">
      <c r="B57" t="s">
        <v>553</v>
      </c>
      <c r="G57" t="s">
        <v>553</v>
      </c>
    </row>
    <row r="58" spans="1:7" x14ac:dyDescent="0.3">
      <c r="B58" t="s">
        <v>554</v>
      </c>
      <c r="G58" t="s">
        <v>554</v>
      </c>
    </row>
    <row r="59" spans="1:7" x14ac:dyDescent="0.3">
      <c r="B59" t="s">
        <v>555</v>
      </c>
      <c r="G59" t="s">
        <v>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DIRECTIVES</vt:lpstr>
      <vt:lpstr>BIBLIOTHÈQUE</vt:lpstr>
      <vt:lpstr>OPTIONS</vt:lpstr>
      <vt:lpstr>DONNÉES</vt:lpstr>
      <vt:lpstr>INVENTAIRE CENTRE</vt:lpstr>
      <vt:lpstr>MENU VISUEL</vt:lpstr>
      <vt:lpstr>MENU</vt:lpstr>
      <vt:lpstr>LISTE D'ÉPICERIE</vt:lpstr>
      <vt:lpstr>Données</vt:lpstr>
      <vt:lpstr>SectionÉpicerie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dc:creator>
  <cp:keywords/>
  <dc:description/>
  <cp:lastModifiedBy>Khalil Salloum</cp:lastModifiedBy>
  <cp:revision/>
  <cp:lastPrinted>2018-06-21T04:10:00Z</cp:lastPrinted>
  <dcterms:created xsi:type="dcterms:W3CDTF">2016-10-06T04:31:42Z</dcterms:created>
  <dcterms:modified xsi:type="dcterms:W3CDTF">2024-12-30T17:40:31Z</dcterms:modified>
  <cp:category/>
  <cp:contentStatus/>
</cp:coreProperties>
</file>